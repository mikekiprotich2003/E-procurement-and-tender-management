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R54" i="1" l="1"/>
  <c r="AR53" i="1"/>
  <c r="AR49" i="1"/>
  <c r="AR50" i="1" s="1"/>
  <c r="AR45" i="1"/>
  <c r="AR46" i="1" s="1"/>
  <c r="AR41" i="1"/>
  <c r="AR40" i="1"/>
  <c r="AR36" i="1"/>
  <c r="AR35" i="1"/>
  <c r="AR27" i="1"/>
  <c r="AR28" i="1"/>
  <c r="AR29" i="1"/>
  <c r="AR30" i="1"/>
  <c r="AR31" i="1"/>
  <c r="AR26" i="1"/>
  <c r="AR23" i="1"/>
  <c r="AR24" i="1" s="1"/>
  <c r="AR17" i="1"/>
  <c r="AR18" i="1"/>
  <c r="AR19" i="1"/>
  <c r="AR16" i="1"/>
  <c r="AR12" i="1"/>
  <c r="AR13" i="1" s="1"/>
  <c r="AR9" i="1"/>
  <c r="AR4" i="1"/>
  <c r="AR5" i="1"/>
  <c r="AR6" i="1"/>
  <c r="AR7" i="1"/>
  <c r="AR8" i="1"/>
  <c r="AR3" i="1"/>
  <c r="AN49" i="1"/>
  <c r="AN48" i="1"/>
  <c r="AN50" i="1" s="1"/>
  <c r="AN44" i="1"/>
  <c r="AN45" i="1" s="1"/>
  <c r="AN40" i="1"/>
  <c r="AN39" i="1"/>
  <c r="AN35" i="1"/>
  <c r="AN34" i="1"/>
  <c r="AN26" i="1"/>
  <c r="AN27" i="1"/>
  <c r="AN28" i="1"/>
  <c r="AN29" i="1"/>
  <c r="AN30" i="1"/>
  <c r="AN25" i="1"/>
  <c r="AN21" i="1"/>
  <c r="AN22" i="1" s="1"/>
  <c r="AN17" i="1"/>
  <c r="AN16" i="1"/>
  <c r="AN12" i="1"/>
  <c r="AN13" i="1" s="1"/>
  <c r="AN4" i="1"/>
  <c r="AN5" i="1"/>
  <c r="AN6" i="1"/>
  <c r="AN7" i="1"/>
  <c r="AN8" i="1"/>
  <c r="AN3" i="1"/>
  <c r="AN18" i="1" l="1"/>
  <c r="AN41" i="1"/>
  <c r="AR42" i="1"/>
  <c r="AR55" i="1"/>
  <c r="AR37" i="1"/>
  <c r="AR32" i="1"/>
  <c r="AR20" i="1"/>
  <c r="AN36" i="1"/>
  <c r="AN31" i="1"/>
  <c r="AN9" i="1"/>
  <c r="AJ36" i="1"/>
  <c r="AJ37" i="1" s="1"/>
  <c r="AJ32" i="1"/>
  <c r="AJ31" i="1"/>
  <c r="AJ21" i="1"/>
  <c r="AJ22" i="1"/>
  <c r="AJ23" i="1"/>
  <c r="AJ24" i="1"/>
  <c r="AJ25" i="1"/>
  <c r="AJ26" i="1"/>
  <c r="AJ27" i="1"/>
  <c r="AJ20" i="1"/>
  <c r="AJ16" i="1"/>
  <c r="AJ17" i="1" s="1"/>
  <c r="AJ12" i="1"/>
  <c r="AJ13" i="1" s="1"/>
  <c r="AJ4" i="1"/>
  <c r="AJ5" i="1"/>
  <c r="AJ6" i="1"/>
  <c r="AJ7" i="1"/>
  <c r="AJ8" i="1"/>
  <c r="AJ3" i="1"/>
  <c r="AR57" i="1" l="1"/>
  <c r="AN52" i="1"/>
  <c r="AN53" i="1" s="1"/>
  <c r="AN54" i="1"/>
  <c r="AJ33" i="1"/>
  <c r="AJ39" i="1" s="1"/>
  <c r="AJ28" i="1"/>
  <c r="AJ9" i="1"/>
  <c r="AF77" i="1"/>
  <c r="AF78" i="1" s="1"/>
  <c r="AF73" i="1"/>
  <c r="AF72" i="1"/>
  <c r="AF63" i="1"/>
  <c r="AF64" i="1"/>
  <c r="AF65" i="1"/>
  <c r="AF66" i="1"/>
  <c r="AF67" i="1"/>
  <c r="AF68" i="1"/>
  <c r="AF62" i="1"/>
  <c r="AF58" i="1"/>
  <c r="AF59" i="1" s="1"/>
  <c r="AF54" i="1"/>
  <c r="AF53" i="1"/>
  <c r="AF55" i="1" s="1"/>
  <c r="AF49" i="1"/>
  <c r="AF48" i="1"/>
  <c r="AF44" i="1"/>
  <c r="AF45" i="1" s="1"/>
  <c r="AF31" i="1"/>
  <c r="AF32" i="1"/>
  <c r="AF33" i="1"/>
  <c r="AF34" i="1"/>
  <c r="AF35" i="1"/>
  <c r="AF36" i="1"/>
  <c r="AF37" i="1"/>
  <c r="AF38" i="1"/>
  <c r="AF39" i="1"/>
  <c r="AF40" i="1"/>
  <c r="AF30" i="1"/>
  <c r="AF23" i="1"/>
  <c r="AF24" i="1"/>
  <c r="AF25" i="1"/>
  <c r="AF26" i="1"/>
  <c r="AF22" i="1"/>
  <c r="AF15" i="1"/>
  <c r="AF16" i="1"/>
  <c r="AF17" i="1"/>
  <c r="AF18" i="1"/>
  <c r="AF14" i="1"/>
  <c r="AF4" i="1"/>
  <c r="AF5" i="1"/>
  <c r="AF6" i="1"/>
  <c r="AF7" i="1"/>
  <c r="AF8" i="1"/>
  <c r="AF9" i="1"/>
  <c r="AF10" i="1"/>
  <c r="AF3" i="1"/>
  <c r="AB80" i="1"/>
  <c r="AB81" i="1"/>
  <c r="AB82" i="1"/>
  <c r="AB83" i="1"/>
  <c r="AB79" i="1"/>
  <c r="AB75" i="1"/>
  <c r="AB76" i="1" s="1"/>
  <c r="AB71" i="1"/>
  <c r="AB70" i="1"/>
  <c r="AB72" i="1" s="1"/>
  <c r="AB61" i="1"/>
  <c r="AB62" i="1"/>
  <c r="AB63" i="1"/>
  <c r="AB64" i="1"/>
  <c r="AB65" i="1"/>
  <c r="AB66" i="1"/>
  <c r="AB60" i="1"/>
  <c r="AB56" i="1"/>
  <c r="AB57" i="1" s="1"/>
  <c r="AB52" i="1"/>
  <c r="AB51" i="1"/>
  <c r="AB53" i="1" s="1"/>
  <c r="AB47" i="1"/>
  <c r="AB46" i="1"/>
  <c r="AB48" i="1" s="1"/>
  <c r="AB42" i="1"/>
  <c r="AB43" i="1" s="1"/>
  <c r="AB29" i="1"/>
  <c r="AB30" i="1"/>
  <c r="AB31" i="1"/>
  <c r="AB32" i="1"/>
  <c r="AB33" i="1"/>
  <c r="AB34" i="1"/>
  <c r="AB35" i="1"/>
  <c r="AB36" i="1"/>
  <c r="AB37" i="1"/>
  <c r="AB38" i="1"/>
  <c r="AB28" i="1"/>
  <c r="AB21" i="1"/>
  <c r="AB22" i="1"/>
  <c r="AB23" i="1"/>
  <c r="AB24" i="1"/>
  <c r="AB20" i="1"/>
  <c r="AB14" i="1"/>
  <c r="AB15" i="1"/>
  <c r="AB16" i="1"/>
  <c r="AB17" i="1"/>
  <c r="AB13" i="1"/>
  <c r="AB4" i="1"/>
  <c r="AB5" i="1"/>
  <c r="AB6" i="1"/>
  <c r="AB7" i="1"/>
  <c r="AB8" i="1"/>
  <c r="AB9" i="1"/>
  <c r="AB10" i="1"/>
  <c r="AB3" i="1"/>
  <c r="AN55" i="1" l="1"/>
  <c r="AR58" i="1"/>
  <c r="AR59" i="1"/>
  <c r="AJ42" i="1"/>
  <c r="AJ40" i="1"/>
  <c r="AJ41" i="1" s="1"/>
  <c r="AJ43" i="1" s="1"/>
  <c r="AF74" i="1"/>
  <c r="AF69" i="1"/>
  <c r="AF50" i="1"/>
  <c r="AF41" i="1"/>
  <c r="AF81" i="1" s="1"/>
  <c r="AF27" i="1"/>
  <c r="AF19" i="1"/>
  <c r="AF11" i="1"/>
  <c r="AB84" i="1"/>
  <c r="AB67" i="1"/>
  <c r="AB39" i="1"/>
  <c r="AB25" i="1"/>
  <c r="AB18" i="1"/>
  <c r="AB11" i="1"/>
  <c r="AR60" i="1" l="1"/>
  <c r="AF82" i="1"/>
  <c r="AF83" i="1"/>
  <c r="AF84" i="1" s="1"/>
  <c r="AB86" i="1"/>
  <c r="AB88" i="1" s="1"/>
  <c r="X78" i="1"/>
  <c r="X77" i="1"/>
  <c r="X68" i="1"/>
  <c r="X69" i="1"/>
  <c r="X70" i="1"/>
  <c r="X71" i="1"/>
  <c r="X72" i="1"/>
  <c r="X73" i="1"/>
  <c r="X74" i="1"/>
  <c r="X67" i="1"/>
  <c r="X64" i="1"/>
  <c r="X65" i="1" s="1"/>
  <c r="X60" i="1"/>
  <c r="X59" i="1"/>
  <c r="X61" i="1" s="1"/>
  <c r="X54" i="1"/>
  <c r="X55" i="1"/>
  <c r="X53" i="1"/>
  <c r="X56" i="1" s="1"/>
  <c r="X50" i="1"/>
  <c r="X49" i="1"/>
  <c r="X47" i="1"/>
  <c r="X46" i="1"/>
  <c r="X36" i="1"/>
  <c r="X37" i="1"/>
  <c r="X38" i="1"/>
  <c r="X39" i="1"/>
  <c r="X40" i="1"/>
  <c r="X41" i="1"/>
  <c r="X42" i="1"/>
  <c r="X43" i="1"/>
  <c r="X35" i="1"/>
  <c r="X31" i="1"/>
  <c r="X32" i="1" s="1"/>
  <c r="X25" i="1"/>
  <c r="X26" i="1"/>
  <c r="X27" i="1"/>
  <c r="X24" i="1"/>
  <c r="X20" i="1"/>
  <c r="X19" i="1"/>
  <c r="X4" i="1"/>
  <c r="X5" i="1"/>
  <c r="X6" i="1"/>
  <c r="X7" i="1"/>
  <c r="X8" i="1"/>
  <c r="X9" i="1"/>
  <c r="X10" i="1"/>
  <c r="X11" i="1"/>
  <c r="X12" i="1"/>
  <c r="X13" i="1"/>
  <c r="X14" i="1"/>
  <c r="X15" i="1"/>
  <c r="X3" i="1"/>
  <c r="AB87" i="1" l="1"/>
  <c r="AB89" i="1"/>
  <c r="X75" i="1"/>
  <c r="X81" i="1" s="1"/>
  <c r="X51" i="1"/>
  <c r="X44" i="1"/>
  <c r="X28" i="1"/>
  <c r="X21" i="1"/>
  <c r="X16" i="1"/>
  <c r="T75" i="1"/>
  <c r="T74" i="1"/>
  <c r="T67" i="1"/>
  <c r="T68" i="1"/>
  <c r="T69" i="1"/>
  <c r="T70" i="1"/>
  <c r="T71" i="1"/>
  <c r="T66" i="1"/>
  <c r="T62" i="1"/>
  <c r="T63" i="1" s="1"/>
  <c r="T58" i="1"/>
  <c r="T57" i="1"/>
  <c r="T59" i="1" s="1"/>
  <c r="T52" i="1"/>
  <c r="T53" i="1"/>
  <c r="T51" i="1"/>
  <c r="T47" i="1"/>
  <c r="T46" i="1"/>
  <c r="T35" i="1"/>
  <c r="T36" i="1"/>
  <c r="T37" i="1"/>
  <c r="T38" i="1"/>
  <c r="T39" i="1"/>
  <c r="T40" i="1"/>
  <c r="T41" i="1"/>
  <c r="T42" i="1"/>
  <c r="T34" i="1"/>
  <c r="T30" i="1"/>
  <c r="T31" i="1" s="1"/>
  <c r="T24" i="1"/>
  <c r="T25" i="1"/>
  <c r="T26" i="1"/>
  <c r="T23" i="1"/>
  <c r="T18" i="1"/>
  <c r="T19" i="1"/>
  <c r="T17" i="1"/>
  <c r="T4" i="1"/>
  <c r="T5" i="1"/>
  <c r="T6" i="1"/>
  <c r="T7" i="1"/>
  <c r="T8" i="1"/>
  <c r="T9" i="1"/>
  <c r="T10" i="1"/>
  <c r="T11" i="1"/>
  <c r="T12" i="1"/>
  <c r="T13" i="1"/>
  <c r="T3" i="1"/>
  <c r="P62" i="1"/>
  <c r="P61" i="1"/>
  <c r="P52" i="1"/>
  <c r="P53" i="1"/>
  <c r="P54" i="1"/>
  <c r="P55" i="1"/>
  <c r="P56" i="1"/>
  <c r="P57" i="1"/>
  <c r="P51" i="1"/>
  <c r="P46" i="1"/>
  <c r="P47" i="1"/>
  <c r="P45" i="1"/>
  <c r="P41" i="1"/>
  <c r="P40" i="1"/>
  <c r="P36" i="1"/>
  <c r="P37" i="1" s="1"/>
  <c r="P27" i="1"/>
  <c r="P28" i="1"/>
  <c r="P29" i="1"/>
  <c r="P30" i="1"/>
  <c r="P31" i="1"/>
  <c r="P32" i="1"/>
  <c r="P26" i="1"/>
  <c r="P22" i="1"/>
  <c r="P23" i="1" s="1"/>
  <c r="P18" i="1"/>
  <c r="P19" i="1" s="1"/>
  <c r="P14" i="1"/>
  <c r="P15" i="1" s="1"/>
  <c r="P4" i="1"/>
  <c r="P5" i="1"/>
  <c r="P6" i="1"/>
  <c r="P7" i="1"/>
  <c r="P8" i="1"/>
  <c r="P9" i="1"/>
  <c r="P10" i="1"/>
  <c r="P3" i="1"/>
  <c r="X84" i="1" l="1"/>
  <c r="X82" i="1"/>
  <c r="X83" i="1" s="1"/>
  <c r="X85" i="1" s="1"/>
  <c r="T54" i="1"/>
  <c r="T27" i="1"/>
  <c r="T20" i="1"/>
  <c r="T72" i="1"/>
  <c r="T48" i="1"/>
  <c r="T43" i="1"/>
  <c r="T14" i="1"/>
  <c r="P58" i="1"/>
  <c r="P48" i="1"/>
  <c r="P42" i="1"/>
  <c r="P33" i="1"/>
  <c r="P11" i="1"/>
  <c r="D103" i="1"/>
  <c r="L60" i="1"/>
  <c r="L58" i="1"/>
  <c r="L59" i="1"/>
  <c r="L57" i="1"/>
  <c r="L56" i="1"/>
  <c r="L53" i="1"/>
  <c r="L54" i="1" s="1"/>
  <c r="L49" i="1"/>
  <c r="L48" i="1"/>
  <c r="L50" i="1" s="1"/>
  <c r="L44" i="1"/>
  <c r="L43" i="1"/>
  <c r="L45" i="1" s="1"/>
  <c r="L39" i="1"/>
  <c r="L40" i="1" s="1"/>
  <c r="L34" i="1"/>
  <c r="L35" i="1"/>
  <c r="L33" i="1"/>
  <c r="L36" i="1" s="1"/>
  <c r="L23" i="1"/>
  <c r="L24" i="1"/>
  <c r="L25" i="1"/>
  <c r="L26" i="1"/>
  <c r="L27" i="1"/>
  <c r="L28" i="1"/>
  <c r="L29" i="1"/>
  <c r="L22" i="1"/>
  <c r="L18" i="1"/>
  <c r="L19" i="1" s="1"/>
  <c r="L13" i="1"/>
  <c r="L14" i="1"/>
  <c r="L12" i="1"/>
  <c r="L15" i="1" s="1"/>
  <c r="L4" i="1"/>
  <c r="L5" i="1"/>
  <c r="L6" i="1"/>
  <c r="L7" i="1"/>
  <c r="L8" i="1"/>
  <c r="L3" i="1"/>
  <c r="H75" i="1"/>
  <c r="H74" i="1"/>
  <c r="H66" i="1"/>
  <c r="H67" i="1"/>
  <c r="H68" i="1"/>
  <c r="H69" i="1"/>
  <c r="H70" i="1"/>
  <c r="H65" i="1"/>
  <c r="H61" i="1"/>
  <c r="H62" i="1" s="1"/>
  <c r="H57" i="1"/>
  <c r="H56" i="1"/>
  <c r="H51" i="1"/>
  <c r="H52" i="1"/>
  <c r="H50" i="1"/>
  <c r="H46" i="1"/>
  <c r="H45" i="1"/>
  <c r="H47" i="1" s="1"/>
  <c r="H41" i="1"/>
  <c r="H42" i="1" s="1"/>
  <c r="H40" i="1"/>
  <c r="H30" i="1"/>
  <c r="H31" i="1"/>
  <c r="H32" i="1"/>
  <c r="H33" i="1"/>
  <c r="H34" i="1"/>
  <c r="H35" i="1"/>
  <c r="H36" i="1"/>
  <c r="H29" i="1"/>
  <c r="H25" i="1"/>
  <c r="H26" i="1" s="1"/>
  <c r="H19" i="1"/>
  <c r="H20" i="1"/>
  <c r="H21" i="1"/>
  <c r="H18" i="1"/>
  <c r="H22" i="1" s="1"/>
  <c r="H13" i="1"/>
  <c r="H14" i="1"/>
  <c r="H12" i="1"/>
  <c r="H15" i="1" s="1"/>
  <c r="H9" i="1"/>
  <c r="H4" i="1"/>
  <c r="H5" i="1"/>
  <c r="H6" i="1"/>
  <c r="H7" i="1"/>
  <c r="H8" i="1"/>
  <c r="H3" i="1"/>
  <c r="D90" i="1"/>
  <c r="D89" i="1"/>
  <c r="D80" i="1"/>
  <c r="D81" i="1"/>
  <c r="D82" i="1"/>
  <c r="D83" i="1"/>
  <c r="D84" i="1"/>
  <c r="D85" i="1"/>
  <c r="D79" i="1"/>
  <c r="D75" i="1"/>
  <c r="D76" i="1" s="1"/>
  <c r="D71" i="1"/>
  <c r="D70" i="1"/>
  <c r="D66" i="1"/>
  <c r="D65" i="1"/>
  <c r="D61" i="1"/>
  <c r="D60" i="1"/>
  <c r="D62" i="1" s="1"/>
  <c r="D54" i="1"/>
  <c r="D55" i="1"/>
  <c r="D56" i="1"/>
  <c r="D53" i="1"/>
  <c r="D50" i="1"/>
  <c r="D51" i="1" s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30" i="1"/>
  <c r="D26" i="1"/>
  <c r="D27" i="1" s="1"/>
  <c r="D22" i="1"/>
  <c r="D23" i="1" s="1"/>
  <c r="D17" i="1"/>
  <c r="D18" i="1"/>
  <c r="D16" i="1"/>
  <c r="D19" i="1" s="1"/>
  <c r="D3" i="1"/>
  <c r="D4" i="1"/>
  <c r="D5" i="1"/>
  <c r="D6" i="1"/>
  <c r="D7" i="1"/>
  <c r="D8" i="1"/>
  <c r="D9" i="1"/>
  <c r="D10" i="1"/>
  <c r="D11" i="1"/>
  <c r="D2" i="1"/>
  <c r="T77" i="1" l="1"/>
  <c r="T80" i="1" s="1"/>
  <c r="P65" i="1"/>
  <c r="P68" i="1" s="1"/>
  <c r="P66" i="1"/>
  <c r="P67" i="1" s="1"/>
  <c r="L30" i="1"/>
  <c r="L9" i="1"/>
  <c r="H53" i="1"/>
  <c r="H71" i="1"/>
  <c r="H58" i="1"/>
  <c r="H37" i="1"/>
  <c r="D91" i="1"/>
  <c r="D86" i="1"/>
  <c r="D72" i="1"/>
  <c r="D67" i="1"/>
  <c r="D94" i="1" s="1"/>
  <c r="D57" i="1"/>
  <c r="D47" i="1"/>
  <c r="D12" i="1"/>
  <c r="T78" i="1" l="1"/>
  <c r="T79" i="1" s="1"/>
  <c r="T81" i="1" s="1"/>
  <c r="P69" i="1"/>
  <c r="H77" i="1"/>
  <c r="H80" i="1"/>
  <c r="H78" i="1"/>
  <c r="H79" i="1" s="1"/>
  <c r="H81" i="1"/>
  <c r="D96" i="1"/>
  <c r="D95" i="1"/>
  <c r="D97" i="1" s="1"/>
</calcChain>
</file>

<file path=xl/sharedStrings.xml><?xml version="1.0" encoding="utf-8"?>
<sst xmlns="http://schemas.openxmlformats.org/spreadsheetml/2006/main" count="150" uniqueCount="35">
  <si>
    <t>Bill 1</t>
  </si>
  <si>
    <t>Bill 4</t>
  </si>
  <si>
    <t>Bill 5</t>
  </si>
  <si>
    <t>Bill 7</t>
  </si>
  <si>
    <t>Bill 8</t>
  </si>
  <si>
    <t>Bill 9</t>
  </si>
  <si>
    <t>Bill 11</t>
  </si>
  <si>
    <t>Bill 10</t>
  </si>
  <si>
    <t>Bill 12</t>
  </si>
  <si>
    <t>Bill 15</t>
  </si>
  <si>
    <t>Bill 16</t>
  </si>
  <si>
    <t>Bill 20</t>
  </si>
  <si>
    <t>Bill 25</t>
  </si>
  <si>
    <t xml:space="preserve">S. Total </t>
  </si>
  <si>
    <t>G. TOTAL</t>
  </si>
  <si>
    <t>ISAPAM - Nrbi</t>
  </si>
  <si>
    <t>HANO-Package 18</t>
  </si>
  <si>
    <t>Bill 14</t>
  </si>
  <si>
    <t>S. Total</t>
  </si>
  <si>
    <t>S. Total 2</t>
  </si>
  <si>
    <t>G. Total</t>
  </si>
  <si>
    <t>HANO-Package 23</t>
  </si>
  <si>
    <t>S. Total 1</t>
  </si>
  <si>
    <t>E.E</t>
  </si>
  <si>
    <t xml:space="preserve">E.E </t>
  </si>
  <si>
    <t>SIAMTU-Package 25-Kitale</t>
  </si>
  <si>
    <t>SIAMTU-Package 20 Eldoret</t>
  </si>
  <si>
    <t>ZENKO-Package 32 Kapenguria</t>
  </si>
  <si>
    <t>KIPTAMBA-Ogembo 23</t>
  </si>
  <si>
    <t>Bill 22</t>
  </si>
  <si>
    <t>Bill 23</t>
  </si>
  <si>
    <t>KIPTAMBA-Nyamira</t>
  </si>
  <si>
    <t>ZENKO-Package 34 Kapenguria</t>
  </si>
  <si>
    <t>LEONYCOLY-Package 27 Webuye</t>
  </si>
  <si>
    <t>LEONYCOLLY-Package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</si>
</sst>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_(* #,##0.0_);_(* \(#,##0.0\);_(* &quot;-&quot;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164" fontId="0" fillId="0" borderId="0" xfId="1" applyNumberFormat="1" applyFont="1"/>
    <xf numFmtId="165" fontId="0" fillId="0" borderId="0" xfId="1" applyNumberFormat="1" applyFont="1"/>
    <xf numFmtId="165" fontId="2" fillId="2" borderId="0" xfId="1" applyNumberFormat="1" applyFont="1" applyFill="1"/>
    <xf numFmtId="165" fontId="4" fillId="2" borderId="0" xfId="1" applyNumberFormat="1" applyFont="1" applyFill="1"/>
    <xf numFmtId="3" fontId="0" fillId="0" borderId="0" xfId="0" applyNumberFormat="1"/>
    <xf numFmtId="165" fontId="0" fillId="0" borderId="0" xfId="0" applyNumberFormat="1"/>
    <xf numFmtId="165" fontId="4" fillId="2" borderId="0" xfId="0" applyNumberFormat="1" applyFont="1" applyFill="1"/>
    <xf numFmtId="10" fontId="0" fillId="0" borderId="0" xfId="0" applyNumberFormat="1"/>
    <xf numFmtId="9" fontId="0" fillId="0" borderId="0" xfId="0" applyNumberFormat="1"/>
    <xf numFmtId="43" fontId="0" fillId="0" borderId="0" xfId="0" applyNumberFormat="1"/>
    <xf numFmtId="43" fontId="4" fillId="2" borderId="0" xfId="0" applyNumberFormat="1" applyFont="1" applyFill="1"/>
    <xf numFmtId="164" fontId="4" fillId="2" borderId="0" xfId="1" applyNumberFormat="1" applyFont="1" applyFill="1"/>
    <xf numFmtId="166" fontId="0" fillId="0" borderId="0" xfId="0" applyNumberFormat="1"/>
    <xf numFmtId="0" fontId="4" fillId="2" borderId="0" xfId="0" applyFont="1" applyFill="1"/>
    <xf numFmtId="43" fontId="3" fillId="2" borderId="0" xfId="0" applyNumberFormat="1" applyFont="1" applyFill="1"/>
    <xf numFmtId="165" fontId="5" fillId="2" borderId="0" xfId="0" applyNumberFormat="1" applyFont="1" applyFill="1"/>
    <xf numFmtId="43" fontId="5" fillId="2" borderId="0" xfId="1" applyFont="1" applyFill="1"/>
    <xf numFmtId="43" fontId="5" fillId="2" borderId="0" xfId="0" applyNumberFormat="1" applyFont="1" applyFill="1"/>
    <xf numFmtId="0" fontId="4" fillId="0" borderId="0" xfId="0" applyFont="1"/>
    <xf numFmtId="0" fontId="0" fillId="0" borderId="4" xfId="0" applyBorder="1"/>
    <xf numFmtId="0" fontId="0" fillId="0" borderId="0" xfId="0" applyBorder="1"/>
    <xf numFmtId="0" fontId="0" fillId="0" borderId="5" xfId="0" applyBorder="1"/>
    <xf numFmtId="3" fontId="0" fillId="0" borderId="0" xfId="0" applyNumberFormat="1" applyBorder="1"/>
    <xf numFmtId="165" fontId="0" fillId="0" borderId="5" xfId="1" applyNumberFormat="1" applyFont="1" applyBorder="1"/>
    <xf numFmtId="165" fontId="4" fillId="2" borderId="5" xfId="1" applyNumberFormat="1" applyFont="1" applyFill="1" applyBorder="1"/>
    <xf numFmtId="3" fontId="0" fillId="0" borderId="4" xfId="0" applyNumberFormat="1" applyBorder="1"/>
    <xf numFmtId="165" fontId="0" fillId="0" borderId="5" xfId="0" applyNumberFormat="1" applyBorder="1"/>
    <xf numFmtId="9" fontId="0" fillId="0" borderId="0" xfId="0" applyNumberFormat="1" applyBorder="1"/>
    <xf numFmtId="43" fontId="0" fillId="0" borderId="5" xfId="0" applyNumberFormat="1" applyBorder="1"/>
    <xf numFmtId="10" fontId="0" fillId="0" borderId="0" xfId="0" applyNumberFormat="1" applyBorder="1"/>
    <xf numFmtId="0" fontId="0" fillId="0" borderId="6" xfId="0" applyBorder="1"/>
    <xf numFmtId="0" fontId="0" fillId="0" borderId="7" xfId="0" applyBorder="1"/>
    <xf numFmtId="0" fontId="6" fillId="2" borderId="6" xfId="0" applyFont="1" applyFill="1" applyBorder="1"/>
    <xf numFmtId="0" fontId="6" fillId="2" borderId="7" xfId="0" applyFont="1" applyFill="1" applyBorder="1"/>
    <xf numFmtId="43" fontId="6" fillId="2" borderId="8" xfId="0" applyNumberFormat="1" applyFont="1" applyFill="1" applyBorder="1"/>
    <xf numFmtId="3" fontId="0" fillId="0" borderId="0" xfId="0" applyNumberFormat="1" applyFill="1" applyBorder="1"/>
    <xf numFmtId="0" fontId="5" fillId="2" borderId="0" xfId="0" applyFont="1" applyFill="1" applyBorder="1"/>
    <xf numFmtId="43" fontId="5" fillId="2" borderId="5" xfId="0" applyNumberFormat="1" applyFont="1" applyFill="1" applyBorder="1"/>
    <xf numFmtId="0" fontId="0" fillId="0" borderId="8" xfId="0" applyBorder="1"/>
    <xf numFmtId="0" fontId="3" fillId="2" borderId="0" xfId="0" applyFont="1" applyFill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165" fontId="4" fillId="0" borderId="5" xfId="1" applyNumberFormat="1" applyFont="1" applyBorder="1"/>
    <xf numFmtId="164" fontId="0" fillId="0" borderId="5" xfId="1" applyNumberFormat="1" applyFont="1" applyBorder="1"/>
    <xf numFmtId="164" fontId="4" fillId="2" borderId="5" xfId="1" applyNumberFormat="1" applyFont="1" applyFill="1" applyBorder="1"/>
    <xf numFmtId="165" fontId="2" fillId="2" borderId="5" xfId="1" applyNumberFormat="1" applyFont="1" applyFill="1" applyBorder="1"/>
    <xf numFmtId="166" fontId="0" fillId="0" borderId="5" xfId="0" applyNumberFormat="1" applyBorder="1"/>
    <xf numFmtId="43" fontId="4" fillId="2" borderId="5" xfId="0" applyNumberFormat="1" applyFont="1" applyFill="1" applyBorder="1"/>
    <xf numFmtId="4" fontId="0" fillId="0" borderId="4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R103"/>
  <sheetViews>
    <sheetView tabSelected="1" workbookViewId="0">
      <selection activeCell="A10" sqref="A10"/>
    </sheetView>
  </sheetViews>
  <sheetFormatPr defaultRowHeight="14.5" x14ac:dyDescent="0.35"/>
  <cols>
    <col min="4" max="4" width="13.6328125" bestFit="1" customWidth="1"/>
    <col min="8" max="8" width="13.6328125" bestFit="1" customWidth="1"/>
    <col min="12" max="12" width="12.81640625" bestFit="1" customWidth="1"/>
    <col min="16" max="16" width="17.453125" bestFit="1" customWidth="1"/>
    <col min="20" max="20" width="17.453125" bestFit="1" customWidth="1"/>
    <col min="24" max="24" width="13.6328125" bestFit="1" customWidth="1"/>
    <col min="28" max="28" width="17.453125" bestFit="1" customWidth="1"/>
    <col min="31" max="31" width="10.7265625" bestFit="1" customWidth="1"/>
    <col min="32" max="32" width="17.26953125" bestFit="1" customWidth="1"/>
    <col min="36" max="36" width="15.90625" bestFit="1" customWidth="1"/>
    <col min="40" max="40" width="17.26953125" bestFit="1" customWidth="1"/>
    <col min="44" max="44" width="12.54296875" bestFit="1" customWidth="1"/>
  </cols>
  <sheetData>
    <row r="1" spans="2:44" x14ac:dyDescent="0.35">
      <c r="B1" t="s">
        <v>0</v>
      </c>
      <c r="C1" s="47" t="s">
        <v>15</v>
      </c>
      <c r="D1" s="47"/>
      <c r="F1" s="40" t="s">
        <v>16</v>
      </c>
      <c r="G1" s="40"/>
      <c r="H1" s="40"/>
      <c r="J1" s="40" t="s">
        <v>21</v>
      </c>
      <c r="K1" s="40"/>
      <c r="L1" s="40"/>
      <c r="N1" s="40" t="s">
        <v>25</v>
      </c>
      <c r="O1" s="40"/>
      <c r="P1" s="40"/>
      <c r="R1" s="48" t="s">
        <v>26</v>
      </c>
      <c r="S1" s="48"/>
      <c r="T1" s="48"/>
      <c r="V1" s="40" t="s">
        <v>27</v>
      </c>
      <c r="W1" s="40"/>
      <c r="X1" s="40"/>
      <c r="Z1" s="41" t="s">
        <v>28</v>
      </c>
      <c r="AA1" s="42"/>
      <c r="AB1" s="43"/>
      <c r="AD1" s="44" t="s">
        <v>31</v>
      </c>
      <c r="AE1" s="45"/>
      <c r="AF1" s="46"/>
      <c r="AH1" s="49" t="s">
        <v>32</v>
      </c>
      <c r="AI1" s="50"/>
      <c r="AJ1" s="51"/>
      <c r="AL1" s="49" t="s">
        <v>33</v>
      </c>
      <c r="AM1" s="50"/>
      <c r="AN1" s="51"/>
      <c r="AP1" s="49" t="s">
        <v>34</v>
      </c>
      <c r="AQ1" s="50"/>
      <c r="AR1" s="51"/>
    </row>
    <row r="2" spans="2:44" x14ac:dyDescent="0.35">
      <c r="B2">
        <v>1</v>
      </c>
      <c r="C2" s="5">
        <v>75000</v>
      </c>
      <c r="D2" s="2">
        <f>B2*C2</f>
        <v>75000</v>
      </c>
      <c r="F2" t="s">
        <v>0</v>
      </c>
      <c r="J2" t="s">
        <v>0</v>
      </c>
      <c r="N2" t="s">
        <v>0</v>
      </c>
      <c r="R2" t="s">
        <v>0</v>
      </c>
      <c r="V2" t="s">
        <v>0</v>
      </c>
      <c r="Z2" s="20" t="s">
        <v>0</v>
      </c>
      <c r="AA2" s="21"/>
      <c r="AB2" s="22"/>
      <c r="AD2" s="20" t="s">
        <v>0</v>
      </c>
      <c r="AE2" s="21"/>
      <c r="AF2" s="22"/>
      <c r="AH2" s="20" t="s">
        <v>0</v>
      </c>
      <c r="AI2" s="21"/>
      <c r="AJ2" s="22"/>
      <c r="AL2" s="20" t="s">
        <v>0</v>
      </c>
      <c r="AM2" s="21"/>
      <c r="AN2" s="22"/>
      <c r="AP2" s="20" t="s">
        <v>0</v>
      </c>
      <c r="AQ2" s="21"/>
      <c r="AR2" s="22"/>
    </row>
    <row r="3" spans="2:44" x14ac:dyDescent="0.35">
      <c r="B3">
        <v>0.25</v>
      </c>
      <c r="C3" s="5">
        <v>75000</v>
      </c>
      <c r="D3" s="2">
        <f t="shared" ref="D3:D11" si="0">B3*C3</f>
        <v>18750</v>
      </c>
      <c r="F3">
        <v>1</v>
      </c>
      <c r="G3" s="5">
        <v>180000</v>
      </c>
      <c r="H3" s="2">
        <f>F3*G3</f>
        <v>180000</v>
      </c>
      <c r="J3">
        <v>1</v>
      </c>
      <c r="K3" s="5">
        <v>100000</v>
      </c>
      <c r="L3" s="2">
        <f>J3*K3</f>
        <v>100000</v>
      </c>
      <c r="N3">
        <v>1</v>
      </c>
      <c r="O3" s="5">
        <v>50000</v>
      </c>
      <c r="P3" s="2">
        <f>N3*O3</f>
        <v>50000</v>
      </c>
      <c r="R3">
        <v>1</v>
      </c>
      <c r="S3" s="5">
        <v>180000</v>
      </c>
      <c r="T3" s="2">
        <f>R3*S3</f>
        <v>180000</v>
      </c>
      <c r="V3">
        <v>1</v>
      </c>
      <c r="W3" s="5">
        <v>100000</v>
      </c>
      <c r="X3" s="2">
        <f>V3*W3</f>
        <v>100000</v>
      </c>
      <c r="Z3" s="20">
        <v>1</v>
      </c>
      <c r="AA3" s="23">
        <v>50000</v>
      </c>
      <c r="AB3" s="24">
        <f>Z3*AA3</f>
        <v>50000</v>
      </c>
      <c r="AD3" s="26">
        <v>50000</v>
      </c>
      <c r="AE3" s="21">
        <v>1</v>
      </c>
      <c r="AF3" s="24">
        <f>AD3*AE3</f>
        <v>50000</v>
      </c>
      <c r="AH3" s="26">
        <v>60000</v>
      </c>
      <c r="AI3" s="21">
        <v>1</v>
      </c>
      <c r="AJ3" s="24">
        <f>AH3*AI3</f>
        <v>60000</v>
      </c>
      <c r="AL3" s="26">
        <v>60700</v>
      </c>
      <c r="AM3" s="21">
        <v>1</v>
      </c>
      <c r="AN3" s="24">
        <f>AL3*AM3</f>
        <v>60700</v>
      </c>
      <c r="AP3" s="20">
        <v>1</v>
      </c>
      <c r="AQ3" s="23">
        <v>60000</v>
      </c>
      <c r="AR3" s="24">
        <f>AP3*AQ3</f>
        <v>60000</v>
      </c>
    </row>
    <row r="4" spans="2:44" x14ac:dyDescent="0.35">
      <c r="B4">
        <v>1</v>
      </c>
      <c r="C4" s="5">
        <v>75000</v>
      </c>
      <c r="D4" s="2">
        <f t="shared" si="0"/>
        <v>75000</v>
      </c>
      <c r="F4">
        <v>0.25</v>
      </c>
      <c r="G4" s="5">
        <v>180000</v>
      </c>
      <c r="H4" s="2">
        <f t="shared" ref="H4:H8" si="1">F4*G4</f>
        <v>45000</v>
      </c>
      <c r="J4">
        <v>0.25</v>
      </c>
      <c r="K4" s="5">
        <v>100000</v>
      </c>
      <c r="L4" s="2">
        <f t="shared" ref="L4:L8" si="2">J4*K4</f>
        <v>25000</v>
      </c>
      <c r="N4">
        <v>0.25</v>
      </c>
      <c r="O4" s="5">
        <v>50000</v>
      </c>
      <c r="P4" s="2">
        <f t="shared" ref="P4:P10" si="3">N4*O4</f>
        <v>12500</v>
      </c>
      <c r="R4">
        <v>0.25</v>
      </c>
      <c r="S4" s="5">
        <v>180000</v>
      </c>
      <c r="T4" s="2">
        <f t="shared" ref="T4:T13" si="4">R4*S4</f>
        <v>45000</v>
      </c>
      <c r="V4">
        <v>0.2</v>
      </c>
      <c r="W4" s="5">
        <v>100000</v>
      </c>
      <c r="X4" s="2">
        <f t="shared" ref="X4:X15" si="5">V4*W4</f>
        <v>20000</v>
      </c>
      <c r="Z4" s="20">
        <v>0.25</v>
      </c>
      <c r="AA4" s="23">
        <v>50000</v>
      </c>
      <c r="AB4" s="24">
        <f t="shared" ref="AB4:AB10" si="6">Z4*AA4</f>
        <v>12500</v>
      </c>
      <c r="AD4" s="26">
        <v>50000</v>
      </c>
      <c r="AE4" s="21">
        <v>0.25</v>
      </c>
      <c r="AF4" s="24">
        <f t="shared" ref="AF4:AF10" si="7">AD4*AE4</f>
        <v>12500</v>
      </c>
      <c r="AH4" s="26">
        <v>60000</v>
      </c>
      <c r="AI4" s="21">
        <v>0.2</v>
      </c>
      <c r="AJ4" s="24">
        <f t="shared" ref="AJ4:AJ8" si="8">AH4*AI4</f>
        <v>12000</v>
      </c>
      <c r="AL4" s="26">
        <v>60700</v>
      </c>
      <c r="AM4" s="21">
        <v>0.2</v>
      </c>
      <c r="AN4" s="24">
        <f t="shared" ref="AN4:AN8" si="9">AL4*AM4</f>
        <v>12140</v>
      </c>
      <c r="AP4" s="20">
        <v>0.2</v>
      </c>
      <c r="AQ4" s="23">
        <v>60000</v>
      </c>
      <c r="AR4" s="24">
        <f t="shared" ref="AR4:AR8" si="10">AP4*AQ4</f>
        <v>12000</v>
      </c>
    </row>
    <row r="5" spans="2:44" x14ac:dyDescent="0.35">
      <c r="B5">
        <v>0.25</v>
      </c>
      <c r="C5" s="5">
        <v>75000</v>
      </c>
      <c r="D5" s="2">
        <f t="shared" si="0"/>
        <v>18750</v>
      </c>
      <c r="F5">
        <v>1</v>
      </c>
      <c r="G5" s="5">
        <v>143000</v>
      </c>
      <c r="H5" s="2">
        <f t="shared" si="1"/>
        <v>143000</v>
      </c>
      <c r="J5">
        <v>1</v>
      </c>
      <c r="K5" s="5">
        <v>55000</v>
      </c>
      <c r="L5" s="2">
        <f t="shared" si="2"/>
        <v>55000</v>
      </c>
      <c r="N5">
        <v>1</v>
      </c>
      <c r="O5" s="5">
        <v>30000</v>
      </c>
      <c r="P5" s="2">
        <f t="shared" si="3"/>
        <v>30000</v>
      </c>
      <c r="R5">
        <v>1</v>
      </c>
      <c r="S5" s="5">
        <v>50000</v>
      </c>
      <c r="T5" s="2">
        <f t="shared" si="4"/>
        <v>50000</v>
      </c>
      <c r="V5">
        <v>1</v>
      </c>
      <c r="W5">
        <v>75800</v>
      </c>
      <c r="X5" s="2">
        <f t="shared" si="5"/>
        <v>75800</v>
      </c>
      <c r="Z5" s="20">
        <v>1</v>
      </c>
      <c r="AA5" s="23">
        <v>60000</v>
      </c>
      <c r="AB5" s="24">
        <f t="shared" si="6"/>
        <v>60000</v>
      </c>
      <c r="AD5" s="26">
        <v>60000</v>
      </c>
      <c r="AE5" s="21">
        <v>1</v>
      </c>
      <c r="AF5" s="24">
        <f t="shared" si="7"/>
        <v>60000</v>
      </c>
      <c r="AH5" s="26">
        <v>250000</v>
      </c>
      <c r="AI5" s="21">
        <v>1</v>
      </c>
      <c r="AJ5" s="24">
        <f t="shared" si="8"/>
        <v>250000</v>
      </c>
      <c r="AL5" s="26">
        <v>250000</v>
      </c>
      <c r="AM5" s="21">
        <v>1</v>
      </c>
      <c r="AN5" s="24">
        <f t="shared" si="9"/>
        <v>250000</v>
      </c>
      <c r="AP5" s="20">
        <v>1</v>
      </c>
      <c r="AQ5" s="23">
        <v>250000</v>
      </c>
      <c r="AR5" s="24">
        <f t="shared" si="10"/>
        <v>250000</v>
      </c>
    </row>
    <row r="6" spans="2:44" x14ac:dyDescent="0.35">
      <c r="B6">
        <v>3</v>
      </c>
      <c r="C6" s="5">
        <v>650000</v>
      </c>
      <c r="D6" s="2">
        <f t="shared" si="0"/>
        <v>1950000</v>
      </c>
      <c r="F6">
        <v>0.25</v>
      </c>
      <c r="G6" s="5">
        <v>143000</v>
      </c>
      <c r="H6" s="2">
        <f t="shared" si="1"/>
        <v>35750</v>
      </c>
      <c r="J6">
        <v>0.25</v>
      </c>
      <c r="K6" s="5">
        <v>55000</v>
      </c>
      <c r="L6" s="2">
        <f t="shared" si="2"/>
        <v>13750</v>
      </c>
      <c r="N6">
        <v>0.25</v>
      </c>
      <c r="O6" s="5">
        <v>30000</v>
      </c>
      <c r="P6" s="2">
        <f t="shared" si="3"/>
        <v>7500</v>
      </c>
      <c r="R6">
        <v>0.25</v>
      </c>
      <c r="S6" s="5">
        <v>50000</v>
      </c>
      <c r="T6" s="2">
        <f t="shared" si="4"/>
        <v>12500</v>
      </c>
      <c r="V6">
        <v>0.2</v>
      </c>
      <c r="W6">
        <v>75800</v>
      </c>
      <c r="X6" s="2">
        <f t="shared" si="5"/>
        <v>15160</v>
      </c>
      <c r="Z6" s="20">
        <v>0.25</v>
      </c>
      <c r="AA6" s="23">
        <v>60000</v>
      </c>
      <c r="AB6" s="24">
        <f t="shared" si="6"/>
        <v>15000</v>
      </c>
      <c r="AD6" s="26">
        <v>60000</v>
      </c>
      <c r="AE6" s="21">
        <v>0.25</v>
      </c>
      <c r="AF6" s="24">
        <f t="shared" si="7"/>
        <v>15000</v>
      </c>
      <c r="AH6" s="26">
        <v>250000</v>
      </c>
      <c r="AI6" s="21">
        <v>0.2</v>
      </c>
      <c r="AJ6" s="24">
        <f t="shared" si="8"/>
        <v>50000</v>
      </c>
      <c r="AL6" s="26">
        <v>250000</v>
      </c>
      <c r="AM6" s="21">
        <v>0.2</v>
      </c>
      <c r="AN6" s="24">
        <f t="shared" si="9"/>
        <v>50000</v>
      </c>
      <c r="AP6" s="20">
        <v>0.2</v>
      </c>
      <c r="AQ6" s="23">
        <v>250000</v>
      </c>
      <c r="AR6" s="24">
        <f t="shared" si="10"/>
        <v>50000</v>
      </c>
    </row>
    <row r="7" spans="2:44" x14ac:dyDescent="0.35">
      <c r="B7">
        <v>50</v>
      </c>
      <c r="C7" s="5">
        <v>60</v>
      </c>
      <c r="D7" s="2">
        <f t="shared" si="0"/>
        <v>3000</v>
      </c>
      <c r="F7">
        <v>1</v>
      </c>
      <c r="G7" s="5">
        <v>707000</v>
      </c>
      <c r="H7" s="2">
        <f t="shared" si="1"/>
        <v>707000</v>
      </c>
      <c r="J7">
        <v>1</v>
      </c>
      <c r="K7" s="5">
        <v>245000</v>
      </c>
      <c r="L7" s="2">
        <f t="shared" si="2"/>
        <v>245000</v>
      </c>
      <c r="N7">
        <v>1</v>
      </c>
      <c r="O7" s="5">
        <v>354000</v>
      </c>
      <c r="P7" s="2">
        <f t="shared" si="3"/>
        <v>354000</v>
      </c>
      <c r="R7">
        <v>1</v>
      </c>
      <c r="S7" s="5">
        <v>554000</v>
      </c>
      <c r="T7" s="2">
        <f t="shared" si="4"/>
        <v>554000</v>
      </c>
      <c r="V7">
        <v>1</v>
      </c>
      <c r="W7" s="5">
        <v>50000</v>
      </c>
      <c r="X7" s="2">
        <f t="shared" si="5"/>
        <v>50000</v>
      </c>
      <c r="Z7" s="20">
        <v>1</v>
      </c>
      <c r="AA7" s="23">
        <v>200000</v>
      </c>
      <c r="AB7" s="24">
        <f t="shared" si="6"/>
        <v>200000</v>
      </c>
      <c r="AD7" s="26">
        <v>300000</v>
      </c>
      <c r="AE7" s="21">
        <v>1</v>
      </c>
      <c r="AF7" s="24">
        <f t="shared" si="7"/>
        <v>300000</v>
      </c>
      <c r="AH7" s="26">
        <v>200000</v>
      </c>
      <c r="AI7" s="21">
        <v>1</v>
      </c>
      <c r="AJ7" s="24">
        <f t="shared" si="8"/>
        <v>200000</v>
      </c>
      <c r="AL7" s="26">
        <v>52000</v>
      </c>
      <c r="AM7" s="21">
        <v>1</v>
      </c>
      <c r="AN7" s="24">
        <f t="shared" si="9"/>
        <v>52000</v>
      </c>
      <c r="AP7" s="20">
        <v>1</v>
      </c>
      <c r="AQ7" s="23">
        <v>53700</v>
      </c>
      <c r="AR7" s="24">
        <f t="shared" si="10"/>
        <v>53700</v>
      </c>
    </row>
    <row r="8" spans="2:44" x14ac:dyDescent="0.35">
      <c r="B8">
        <v>1</v>
      </c>
      <c r="C8" s="5">
        <v>50000</v>
      </c>
      <c r="D8" s="2">
        <f t="shared" si="0"/>
        <v>50000</v>
      </c>
      <c r="F8">
        <v>0.25</v>
      </c>
      <c r="G8" s="5">
        <v>707000</v>
      </c>
      <c r="H8" s="2">
        <f t="shared" si="1"/>
        <v>176750</v>
      </c>
      <c r="J8">
        <v>0.25</v>
      </c>
      <c r="K8" s="5">
        <v>245000</v>
      </c>
      <c r="L8" s="2">
        <f t="shared" si="2"/>
        <v>61250</v>
      </c>
      <c r="N8">
        <v>0.25</v>
      </c>
      <c r="O8" s="5">
        <v>354000</v>
      </c>
      <c r="P8" s="2">
        <f t="shared" si="3"/>
        <v>88500</v>
      </c>
      <c r="R8">
        <v>0.25</v>
      </c>
      <c r="S8" s="5">
        <v>554000</v>
      </c>
      <c r="T8" s="2">
        <f t="shared" si="4"/>
        <v>138500</v>
      </c>
      <c r="V8">
        <v>0.2</v>
      </c>
      <c r="W8" s="5">
        <v>50000</v>
      </c>
      <c r="X8" s="2">
        <f t="shared" si="5"/>
        <v>10000</v>
      </c>
      <c r="Z8" s="20">
        <v>0.25</v>
      </c>
      <c r="AA8" s="23">
        <v>200000</v>
      </c>
      <c r="AB8" s="24">
        <f t="shared" si="6"/>
        <v>50000</v>
      </c>
      <c r="AD8" s="26">
        <v>300000</v>
      </c>
      <c r="AE8" s="21">
        <v>0.25</v>
      </c>
      <c r="AF8" s="24">
        <f t="shared" si="7"/>
        <v>75000</v>
      </c>
      <c r="AH8" s="26">
        <v>200000</v>
      </c>
      <c r="AI8" s="21">
        <v>0.2</v>
      </c>
      <c r="AJ8" s="24">
        <f t="shared" si="8"/>
        <v>40000</v>
      </c>
      <c r="AL8" s="26">
        <v>52000</v>
      </c>
      <c r="AM8" s="21">
        <v>0.2</v>
      </c>
      <c r="AN8" s="24">
        <f t="shared" si="9"/>
        <v>10400</v>
      </c>
      <c r="AP8" s="20">
        <v>0.2</v>
      </c>
      <c r="AQ8" s="23">
        <v>53700</v>
      </c>
      <c r="AR8" s="24">
        <f t="shared" si="10"/>
        <v>10740</v>
      </c>
    </row>
    <row r="9" spans="2:44" x14ac:dyDescent="0.35">
      <c r="B9">
        <v>0.25</v>
      </c>
      <c r="C9" s="5">
        <v>50000</v>
      </c>
      <c r="D9" s="2">
        <f t="shared" si="0"/>
        <v>12500</v>
      </c>
      <c r="H9" s="7">
        <f>SUM(H3:H8)</f>
        <v>1287500</v>
      </c>
      <c r="L9" s="4">
        <f>SUM(L3:L8)</f>
        <v>500000</v>
      </c>
      <c r="N9">
        <v>1</v>
      </c>
      <c r="O9" s="5">
        <v>546000</v>
      </c>
      <c r="P9" s="2">
        <f t="shared" si="3"/>
        <v>546000</v>
      </c>
      <c r="R9">
        <v>1</v>
      </c>
      <c r="S9" s="5">
        <v>546000</v>
      </c>
      <c r="T9" s="2">
        <f t="shared" si="4"/>
        <v>546000</v>
      </c>
      <c r="V9" s="5">
        <v>1</v>
      </c>
      <c r="W9" s="5">
        <v>354000</v>
      </c>
      <c r="X9" s="2">
        <f t="shared" si="5"/>
        <v>354000</v>
      </c>
      <c r="Z9" s="20">
        <v>1</v>
      </c>
      <c r="AA9" s="23">
        <v>400000</v>
      </c>
      <c r="AB9" s="24">
        <f t="shared" si="6"/>
        <v>400000</v>
      </c>
      <c r="AD9" s="26">
        <v>400000</v>
      </c>
      <c r="AE9" s="21">
        <v>1</v>
      </c>
      <c r="AF9" s="24">
        <f t="shared" si="7"/>
        <v>400000</v>
      </c>
      <c r="AH9" s="20"/>
      <c r="AI9" s="21"/>
      <c r="AJ9" s="25">
        <f>SUM(AJ3:AJ8)</f>
        <v>612000</v>
      </c>
      <c r="AL9" s="20"/>
      <c r="AM9" s="21"/>
      <c r="AN9" s="25">
        <f>SUM(AN3:AN8)</f>
        <v>435240</v>
      </c>
      <c r="AP9" s="20"/>
      <c r="AQ9" s="21"/>
      <c r="AR9" s="52">
        <f>SUM(AR3:AR8)</f>
        <v>436440</v>
      </c>
    </row>
    <row r="10" spans="2:44" x14ac:dyDescent="0.35">
      <c r="B10">
        <v>1</v>
      </c>
      <c r="C10" s="5">
        <v>370000</v>
      </c>
      <c r="D10" s="2">
        <f t="shared" si="0"/>
        <v>370000</v>
      </c>
      <c r="N10">
        <v>0.25</v>
      </c>
      <c r="O10" s="5">
        <v>546000</v>
      </c>
      <c r="P10" s="2">
        <f t="shared" si="3"/>
        <v>136500</v>
      </c>
      <c r="R10">
        <v>0.25</v>
      </c>
      <c r="S10" s="5">
        <v>546000</v>
      </c>
      <c r="T10" s="2">
        <f t="shared" si="4"/>
        <v>136500</v>
      </c>
      <c r="V10">
        <v>0.2</v>
      </c>
      <c r="W10" s="5">
        <v>354000</v>
      </c>
      <c r="X10" s="2">
        <f t="shared" si="5"/>
        <v>70800</v>
      </c>
      <c r="Z10" s="20">
        <v>0.25</v>
      </c>
      <c r="AA10" s="23">
        <v>400000</v>
      </c>
      <c r="AB10" s="24">
        <f t="shared" si="6"/>
        <v>100000</v>
      </c>
      <c r="AD10" s="26">
        <v>400000</v>
      </c>
      <c r="AE10" s="21">
        <v>0.25</v>
      </c>
      <c r="AF10" s="24">
        <f t="shared" si="7"/>
        <v>100000</v>
      </c>
      <c r="AH10" s="20"/>
      <c r="AI10" s="21"/>
      <c r="AJ10" s="22"/>
      <c r="AL10" s="20"/>
      <c r="AM10" s="21"/>
      <c r="AN10" s="22"/>
      <c r="AP10" s="20"/>
      <c r="AQ10" s="21"/>
      <c r="AR10" s="22"/>
    </row>
    <row r="11" spans="2:44" x14ac:dyDescent="0.35">
      <c r="B11">
        <v>0.25</v>
      </c>
      <c r="C11" s="5">
        <v>375000</v>
      </c>
      <c r="D11" s="2">
        <f t="shared" si="0"/>
        <v>93750</v>
      </c>
      <c r="F11" t="s">
        <v>1</v>
      </c>
      <c r="J11" t="s">
        <v>1</v>
      </c>
      <c r="P11" s="4">
        <f>SUM(P3:P10)</f>
        <v>1225000</v>
      </c>
      <c r="R11">
        <v>1</v>
      </c>
      <c r="S11" s="5">
        <v>100000</v>
      </c>
      <c r="T11" s="2">
        <f t="shared" si="4"/>
        <v>100000</v>
      </c>
      <c r="V11">
        <v>1</v>
      </c>
      <c r="W11" s="5">
        <v>546000</v>
      </c>
      <c r="X11" s="2">
        <f t="shared" si="5"/>
        <v>546000</v>
      </c>
      <c r="Z11" s="20"/>
      <c r="AA11" s="21"/>
      <c r="AB11" s="25">
        <f>SUM(AB3:AB10)</f>
        <v>887500</v>
      </c>
      <c r="AD11" s="20"/>
      <c r="AE11" s="21"/>
      <c r="AF11" s="25">
        <f>SUM(AF3:AF10)</f>
        <v>1012500</v>
      </c>
      <c r="AH11" s="20" t="s">
        <v>1</v>
      </c>
      <c r="AI11" s="21"/>
      <c r="AJ11" s="22"/>
      <c r="AL11" s="20" t="s">
        <v>1</v>
      </c>
      <c r="AM11" s="21"/>
      <c r="AN11" s="22"/>
      <c r="AP11" s="20" t="s">
        <v>1</v>
      </c>
      <c r="AQ11" s="21"/>
      <c r="AR11" s="22"/>
    </row>
    <row r="12" spans="2:44" x14ac:dyDescent="0.35">
      <c r="D12" s="4">
        <f>SUM(D2:D11)</f>
        <v>2666750</v>
      </c>
      <c r="F12" s="5">
        <v>6000</v>
      </c>
      <c r="G12">
        <v>10</v>
      </c>
      <c r="H12" s="2">
        <f>F12*G12</f>
        <v>60000</v>
      </c>
      <c r="J12">
        <v>600</v>
      </c>
      <c r="K12">
        <v>10</v>
      </c>
      <c r="L12" s="2">
        <f>J12*K12</f>
        <v>6000</v>
      </c>
      <c r="R12">
        <v>0.25</v>
      </c>
      <c r="S12" s="5">
        <v>100000</v>
      </c>
      <c r="T12" s="2">
        <f t="shared" si="4"/>
        <v>25000</v>
      </c>
      <c r="V12">
        <v>0.2</v>
      </c>
      <c r="W12" s="5">
        <v>546000</v>
      </c>
      <c r="X12" s="2">
        <f t="shared" si="5"/>
        <v>109200</v>
      </c>
      <c r="Z12" s="20"/>
      <c r="AA12" s="21"/>
      <c r="AB12" s="22"/>
      <c r="AD12" s="20"/>
      <c r="AE12" s="21"/>
      <c r="AF12" s="22"/>
      <c r="AH12" s="26">
        <v>14700</v>
      </c>
      <c r="AI12" s="21">
        <v>10</v>
      </c>
      <c r="AJ12" s="24">
        <f>AH12*AI12</f>
        <v>147000</v>
      </c>
      <c r="AL12" s="26">
        <v>1000</v>
      </c>
      <c r="AM12" s="21">
        <v>10</v>
      </c>
      <c r="AN12" s="24">
        <f>AL12*AM12</f>
        <v>10000</v>
      </c>
      <c r="AP12" s="26">
        <v>1000</v>
      </c>
      <c r="AQ12" s="21">
        <v>10</v>
      </c>
      <c r="AR12" s="53">
        <f>AP12*AQ12</f>
        <v>10000</v>
      </c>
    </row>
    <row r="13" spans="2:44" x14ac:dyDescent="0.35">
      <c r="F13">
        <v>0.8</v>
      </c>
      <c r="G13" s="5">
        <v>100000</v>
      </c>
      <c r="H13" s="2">
        <f t="shared" ref="H13:H14" si="11">F13*G13</f>
        <v>80000</v>
      </c>
      <c r="J13" s="5">
        <v>18000</v>
      </c>
      <c r="K13">
        <v>8</v>
      </c>
      <c r="L13" s="2">
        <f t="shared" ref="L13:L14" si="12">J13*K13</f>
        <v>144000</v>
      </c>
      <c r="N13" t="s">
        <v>1</v>
      </c>
      <c r="R13">
        <v>5</v>
      </c>
      <c r="S13" s="5">
        <v>500000</v>
      </c>
      <c r="T13" s="2">
        <f t="shared" si="4"/>
        <v>2500000</v>
      </c>
      <c r="V13">
        <v>1</v>
      </c>
      <c r="W13" s="5">
        <v>100000</v>
      </c>
      <c r="X13" s="2">
        <f t="shared" si="5"/>
        <v>100000</v>
      </c>
      <c r="Z13" s="20">
        <v>30</v>
      </c>
      <c r="AA13" s="23">
        <v>1200</v>
      </c>
      <c r="AB13" s="24">
        <f>Z13*AA13</f>
        <v>36000</v>
      </c>
      <c r="AD13" s="20" t="s">
        <v>1</v>
      </c>
      <c r="AE13" s="21"/>
      <c r="AF13" s="22"/>
      <c r="AH13" s="20"/>
      <c r="AI13" s="21"/>
      <c r="AJ13" s="25">
        <f>SUM(AJ12)</f>
        <v>147000</v>
      </c>
      <c r="AL13" s="20"/>
      <c r="AM13" s="21"/>
      <c r="AN13" s="25">
        <f>SUM(AN12)</f>
        <v>10000</v>
      </c>
      <c r="AP13" s="20"/>
      <c r="AQ13" s="21"/>
      <c r="AR13" s="54">
        <f>SUM(AR12)</f>
        <v>10000</v>
      </c>
    </row>
    <row r="14" spans="2:44" x14ac:dyDescent="0.35">
      <c r="F14">
        <v>360</v>
      </c>
      <c r="G14">
        <v>250</v>
      </c>
      <c r="H14" s="2">
        <f t="shared" si="11"/>
        <v>90000</v>
      </c>
      <c r="J14">
        <v>0.15</v>
      </c>
      <c r="K14" s="5">
        <v>100000</v>
      </c>
      <c r="L14" s="2">
        <f t="shared" si="12"/>
        <v>15000</v>
      </c>
      <c r="N14" s="5">
        <v>6000</v>
      </c>
      <c r="O14">
        <v>10</v>
      </c>
      <c r="P14" s="2">
        <f>N14*O14</f>
        <v>60000</v>
      </c>
      <c r="T14" s="4">
        <f>SUM(T3:T13)</f>
        <v>4287500</v>
      </c>
      <c r="V14">
        <v>0.2</v>
      </c>
      <c r="W14" s="5">
        <v>100000</v>
      </c>
      <c r="X14" s="2">
        <f t="shared" si="5"/>
        <v>20000</v>
      </c>
      <c r="Z14" s="20">
        <v>2700</v>
      </c>
      <c r="AA14" s="23">
        <v>10</v>
      </c>
      <c r="AB14" s="24">
        <f t="shared" ref="AB14:AB17" si="13">Z14*AA14</f>
        <v>27000</v>
      </c>
      <c r="AD14" s="20">
        <v>35</v>
      </c>
      <c r="AE14" s="21">
        <v>1200</v>
      </c>
      <c r="AF14" s="24">
        <f>AD14*AE14</f>
        <v>42000</v>
      </c>
      <c r="AH14" s="20"/>
      <c r="AI14" s="21"/>
      <c r="AJ14" s="22"/>
      <c r="AL14" s="20"/>
      <c r="AM14" s="21"/>
      <c r="AN14" s="22"/>
      <c r="AP14" s="20"/>
      <c r="AQ14" s="21"/>
      <c r="AR14" s="22"/>
    </row>
    <row r="15" spans="2:44" x14ac:dyDescent="0.35">
      <c r="B15" t="s">
        <v>1</v>
      </c>
      <c r="H15" s="4">
        <f>SUM(H12:H14)</f>
        <v>230000</v>
      </c>
      <c r="L15" s="4">
        <f>SUM(L12:L14)</f>
        <v>165000</v>
      </c>
      <c r="P15" s="4">
        <f>SUM(P14)</f>
        <v>60000</v>
      </c>
      <c r="V15">
        <v>6</v>
      </c>
      <c r="W15" s="5">
        <v>600000</v>
      </c>
      <c r="X15" s="2">
        <f t="shared" si="5"/>
        <v>3600000</v>
      </c>
      <c r="Z15" s="20">
        <v>810</v>
      </c>
      <c r="AA15" s="23">
        <v>250</v>
      </c>
      <c r="AB15" s="24">
        <f t="shared" si="13"/>
        <v>202500</v>
      </c>
      <c r="AD15" s="20">
        <v>2100</v>
      </c>
      <c r="AE15" s="21">
        <v>20</v>
      </c>
      <c r="AF15" s="24">
        <f t="shared" ref="AF15:AF18" si="14">AD15*AE15</f>
        <v>42000</v>
      </c>
      <c r="AH15" s="20" t="s">
        <v>3</v>
      </c>
      <c r="AI15" s="21"/>
      <c r="AJ15" s="22"/>
      <c r="AL15" s="20" t="s">
        <v>2</v>
      </c>
      <c r="AM15" s="21"/>
      <c r="AN15" s="22"/>
      <c r="AP15" s="20" t="s">
        <v>2</v>
      </c>
      <c r="AQ15" s="21"/>
      <c r="AR15" s="22"/>
    </row>
    <row r="16" spans="2:44" x14ac:dyDescent="0.35">
      <c r="B16" s="5">
        <v>10000</v>
      </c>
      <c r="C16">
        <v>10</v>
      </c>
      <c r="D16" s="2">
        <f>B16*C16</f>
        <v>100000</v>
      </c>
      <c r="R16" t="s">
        <v>1</v>
      </c>
      <c r="X16" s="4">
        <f>SUM(X3:X15)</f>
        <v>5070960</v>
      </c>
      <c r="Z16" s="26">
        <v>150000</v>
      </c>
      <c r="AA16" s="23">
        <v>1</v>
      </c>
      <c r="AB16" s="24">
        <f t="shared" si="13"/>
        <v>150000</v>
      </c>
      <c r="AD16" s="20">
        <v>630</v>
      </c>
      <c r="AE16" s="21">
        <v>300</v>
      </c>
      <c r="AF16" s="24">
        <f t="shared" si="14"/>
        <v>189000</v>
      </c>
      <c r="AH16" s="20">
        <v>400</v>
      </c>
      <c r="AI16" s="21">
        <v>2400</v>
      </c>
      <c r="AJ16" s="24">
        <f>AH16*AI16</f>
        <v>960000</v>
      </c>
      <c r="AL16" s="20">
        <v>60</v>
      </c>
      <c r="AM16" s="21">
        <v>200</v>
      </c>
      <c r="AN16" s="24">
        <f>AL16*AM16</f>
        <v>12000</v>
      </c>
      <c r="AP16" s="20">
        <v>525</v>
      </c>
      <c r="AQ16" s="21">
        <v>200</v>
      </c>
      <c r="AR16" s="24">
        <f>AP16*AQ16</f>
        <v>105000</v>
      </c>
    </row>
    <row r="17" spans="2:44" x14ac:dyDescent="0.35">
      <c r="B17">
        <v>100</v>
      </c>
      <c r="C17">
        <v>100</v>
      </c>
      <c r="D17" s="2">
        <f t="shared" ref="D17:D18" si="15">B17*C17</f>
        <v>10000</v>
      </c>
      <c r="F17" t="s">
        <v>2</v>
      </c>
      <c r="J17" t="s">
        <v>3</v>
      </c>
      <c r="N17" t="s">
        <v>2</v>
      </c>
      <c r="R17" s="5">
        <v>6000</v>
      </c>
      <c r="S17">
        <v>10</v>
      </c>
      <c r="T17" s="2">
        <f>R17*S17</f>
        <v>60000</v>
      </c>
      <c r="Z17" s="26">
        <v>150000</v>
      </c>
      <c r="AA17" s="23">
        <v>0.25</v>
      </c>
      <c r="AB17" s="24">
        <f t="shared" si="13"/>
        <v>37500</v>
      </c>
      <c r="AD17" s="26">
        <v>100000</v>
      </c>
      <c r="AE17" s="36">
        <v>1</v>
      </c>
      <c r="AF17" s="24">
        <f t="shared" si="14"/>
        <v>100000</v>
      </c>
      <c r="AH17" s="20"/>
      <c r="AI17" s="21"/>
      <c r="AJ17" s="25">
        <f>SUM(AJ16)</f>
        <v>960000</v>
      </c>
      <c r="AL17" s="20">
        <v>630</v>
      </c>
      <c r="AM17" s="21">
        <v>200</v>
      </c>
      <c r="AN17" s="24">
        <f>AL17*AM17</f>
        <v>126000</v>
      </c>
      <c r="AP17" s="20">
        <v>400</v>
      </c>
      <c r="AQ17" s="21">
        <v>200</v>
      </c>
      <c r="AR17" s="24">
        <f t="shared" ref="AR17:AR19" si="16">AP17*AQ17</f>
        <v>80000</v>
      </c>
    </row>
    <row r="18" spans="2:44" x14ac:dyDescent="0.35">
      <c r="B18">
        <v>10</v>
      </c>
      <c r="C18">
        <v>1500</v>
      </c>
      <c r="D18" s="2">
        <f t="shared" si="15"/>
        <v>15000</v>
      </c>
      <c r="F18">
        <v>270</v>
      </c>
      <c r="G18">
        <v>400</v>
      </c>
      <c r="H18" s="2">
        <f>F18*G18</f>
        <v>108000</v>
      </c>
      <c r="J18">
        <v>300</v>
      </c>
      <c r="K18">
        <v>2500</v>
      </c>
      <c r="L18" s="2">
        <f>J18*K18</f>
        <v>750000</v>
      </c>
      <c r="N18">
        <v>199.7</v>
      </c>
      <c r="O18">
        <v>300</v>
      </c>
      <c r="P18" s="2">
        <f>N18*O18</f>
        <v>59910</v>
      </c>
      <c r="R18">
        <v>1</v>
      </c>
      <c r="S18" s="5">
        <v>70000</v>
      </c>
      <c r="T18" s="2">
        <f t="shared" ref="T18:T19" si="17">R18*S18</f>
        <v>70000</v>
      </c>
      <c r="V18" t="s">
        <v>1</v>
      </c>
      <c r="Z18" s="20"/>
      <c r="AA18" s="21"/>
      <c r="AB18" s="25">
        <f>SUM(AB13:AB17)</f>
        <v>453000</v>
      </c>
      <c r="AD18" s="26">
        <v>100000</v>
      </c>
      <c r="AE18" s="21">
        <v>0.25</v>
      </c>
      <c r="AF18" s="24">
        <f t="shared" si="14"/>
        <v>25000</v>
      </c>
      <c r="AH18" s="20"/>
      <c r="AI18" s="21"/>
      <c r="AJ18" s="22"/>
      <c r="AL18" s="20"/>
      <c r="AM18" s="21"/>
      <c r="AN18" s="25">
        <f>SUM(AN16:AN17)</f>
        <v>138000</v>
      </c>
      <c r="AP18" s="20">
        <v>400</v>
      </c>
      <c r="AQ18" s="21">
        <v>200</v>
      </c>
      <c r="AR18" s="24">
        <f t="shared" si="16"/>
        <v>80000</v>
      </c>
    </row>
    <row r="19" spans="2:44" x14ac:dyDescent="0.35">
      <c r="D19" s="4">
        <f>SUM(D16:D18)</f>
        <v>125000</v>
      </c>
      <c r="F19">
        <v>480</v>
      </c>
      <c r="G19">
        <v>400</v>
      </c>
      <c r="H19" s="2">
        <f t="shared" ref="H19:H21" si="18">F19*G19</f>
        <v>192000</v>
      </c>
      <c r="L19" s="4">
        <f>SUM(L18)</f>
        <v>750000</v>
      </c>
      <c r="P19" s="4">
        <f>SUM(P18)</f>
        <v>59910</v>
      </c>
      <c r="R19">
        <v>540</v>
      </c>
      <c r="S19">
        <v>300</v>
      </c>
      <c r="T19" s="2">
        <f t="shared" si="17"/>
        <v>162000</v>
      </c>
      <c r="V19">
        <v>0.3</v>
      </c>
      <c r="W19" s="5">
        <v>150000</v>
      </c>
      <c r="X19" s="2">
        <f>V19*W19</f>
        <v>45000</v>
      </c>
      <c r="Z19" s="20" t="s">
        <v>2</v>
      </c>
      <c r="AA19" s="21"/>
      <c r="AB19" s="22"/>
      <c r="AD19" s="20"/>
      <c r="AE19" s="21"/>
      <c r="AF19" s="25">
        <f>SUM(AF14:AF18)</f>
        <v>398000</v>
      </c>
      <c r="AH19" s="20" t="s">
        <v>4</v>
      </c>
      <c r="AI19" s="21"/>
      <c r="AJ19" s="22"/>
      <c r="AL19" s="20"/>
      <c r="AM19" s="21"/>
      <c r="AN19" s="22"/>
      <c r="AP19" s="20">
        <v>300</v>
      </c>
      <c r="AQ19" s="21">
        <v>700</v>
      </c>
      <c r="AR19" s="24">
        <f t="shared" si="16"/>
        <v>210000</v>
      </c>
    </row>
    <row r="20" spans="2:44" x14ac:dyDescent="0.35">
      <c r="F20">
        <v>405</v>
      </c>
      <c r="G20">
        <v>320</v>
      </c>
      <c r="H20" s="2">
        <f t="shared" si="18"/>
        <v>129600</v>
      </c>
      <c r="T20" s="4">
        <f>SUM(T17:T19)</f>
        <v>292000</v>
      </c>
      <c r="V20">
        <v>360</v>
      </c>
      <c r="W20">
        <v>350</v>
      </c>
      <c r="X20" s="2">
        <f>V20*W20</f>
        <v>126000</v>
      </c>
      <c r="Z20" s="20">
        <v>825.73800000000006</v>
      </c>
      <c r="AA20" s="23">
        <v>300</v>
      </c>
      <c r="AB20" s="24">
        <f>Z20*AA20</f>
        <v>247721.40000000002</v>
      </c>
      <c r="AD20" s="20"/>
      <c r="AE20" s="21"/>
      <c r="AF20" s="22"/>
      <c r="AH20" s="20">
        <v>100</v>
      </c>
      <c r="AI20" s="21">
        <v>300</v>
      </c>
      <c r="AJ20" s="24">
        <f>AH20*AI20</f>
        <v>30000</v>
      </c>
      <c r="AL20" s="20" t="s">
        <v>3</v>
      </c>
      <c r="AM20" s="21"/>
      <c r="AN20" s="22"/>
      <c r="AP20" s="20"/>
      <c r="AQ20" s="21"/>
      <c r="AR20" s="55">
        <f>SUM(AR16:AR19)</f>
        <v>475000</v>
      </c>
    </row>
    <row r="21" spans="2:44" x14ac:dyDescent="0.35">
      <c r="B21" t="s">
        <v>2</v>
      </c>
      <c r="F21">
        <v>270</v>
      </c>
      <c r="G21">
        <v>1000</v>
      </c>
      <c r="H21" s="2">
        <f t="shared" si="18"/>
        <v>270000</v>
      </c>
      <c r="J21" t="s">
        <v>4</v>
      </c>
      <c r="N21" t="s">
        <v>3</v>
      </c>
      <c r="X21" s="4">
        <f>SUM(X19:X20)</f>
        <v>171000</v>
      </c>
      <c r="Z21" s="20">
        <v>2106</v>
      </c>
      <c r="AA21" s="23">
        <v>270</v>
      </c>
      <c r="AB21" s="24">
        <f t="shared" ref="AB21:AB24" si="19">Z21*AA21</f>
        <v>568620</v>
      </c>
      <c r="AD21" s="20" t="s">
        <v>2</v>
      </c>
      <c r="AE21" s="21"/>
      <c r="AF21" s="22"/>
      <c r="AH21" s="20">
        <v>60</v>
      </c>
      <c r="AI21" s="21">
        <v>300</v>
      </c>
      <c r="AJ21" s="24">
        <f t="shared" ref="AJ21:AJ27" si="20">AH21*AI21</f>
        <v>18000</v>
      </c>
      <c r="AL21" s="20">
        <v>100</v>
      </c>
      <c r="AM21" s="21">
        <v>1700</v>
      </c>
      <c r="AN21" s="24">
        <f>AL21*AM21</f>
        <v>170000</v>
      </c>
      <c r="AP21" s="20"/>
      <c r="AQ21" s="21"/>
      <c r="AR21" s="22"/>
    </row>
    <row r="22" spans="2:44" x14ac:dyDescent="0.35">
      <c r="B22">
        <v>99</v>
      </c>
      <c r="C22">
        <v>400</v>
      </c>
      <c r="D22" s="2">
        <f>B22*C22</f>
        <v>39600</v>
      </c>
      <c r="H22" s="4">
        <f>SUM(H18:H21)</f>
        <v>699600</v>
      </c>
      <c r="J22">
        <v>100</v>
      </c>
      <c r="K22">
        <v>300</v>
      </c>
      <c r="L22" s="2">
        <f>J22*K22</f>
        <v>30000</v>
      </c>
      <c r="N22">
        <v>800</v>
      </c>
      <c r="O22">
        <v>2000</v>
      </c>
      <c r="P22" s="2">
        <f>N22*O22</f>
        <v>1600000</v>
      </c>
      <c r="R22" t="s">
        <v>2</v>
      </c>
      <c r="Z22" s="20">
        <v>607.5</v>
      </c>
      <c r="AA22" s="23">
        <v>370</v>
      </c>
      <c r="AB22" s="24">
        <f t="shared" si="19"/>
        <v>224775</v>
      </c>
      <c r="AD22" s="20">
        <v>443.70299999999997</v>
      </c>
      <c r="AE22" s="21">
        <v>350</v>
      </c>
      <c r="AF22" s="24">
        <f>AD22*AE22</f>
        <v>155296.04999999999</v>
      </c>
      <c r="AH22" s="20">
        <v>120</v>
      </c>
      <c r="AI22" s="21">
        <v>350</v>
      </c>
      <c r="AJ22" s="24">
        <f t="shared" si="20"/>
        <v>42000</v>
      </c>
      <c r="AL22" s="20"/>
      <c r="AM22" s="21"/>
      <c r="AN22" s="25">
        <f>SUM(AN21)</f>
        <v>170000</v>
      </c>
      <c r="AP22" s="20" t="s">
        <v>3</v>
      </c>
      <c r="AQ22" s="21"/>
      <c r="AR22" s="22"/>
    </row>
    <row r="23" spans="2:44" x14ac:dyDescent="0.35">
      <c r="D23" s="4">
        <f>SUM(D22)</f>
        <v>39600</v>
      </c>
      <c r="J23">
        <v>142.56</v>
      </c>
      <c r="K23">
        <v>400</v>
      </c>
      <c r="L23" s="2">
        <f t="shared" ref="L23:L29" si="21">J23*K23</f>
        <v>57024</v>
      </c>
      <c r="P23" s="4">
        <f>SUM(P22)</f>
        <v>1600000</v>
      </c>
      <c r="R23">
        <v>405</v>
      </c>
      <c r="S23">
        <v>300</v>
      </c>
      <c r="T23" s="2">
        <f>R23*S23</f>
        <v>121500</v>
      </c>
      <c r="V23" t="s">
        <v>2</v>
      </c>
      <c r="Z23" s="20">
        <v>607.5</v>
      </c>
      <c r="AA23" s="23">
        <v>290</v>
      </c>
      <c r="AB23" s="24">
        <f t="shared" si="19"/>
        <v>176175</v>
      </c>
      <c r="AD23" s="20">
        <v>1417.5</v>
      </c>
      <c r="AE23" s="21">
        <v>300</v>
      </c>
      <c r="AF23" s="24">
        <f t="shared" ref="AF23:AF26" si="22">AD23*AE23</f>
        <v>425250</v>
      </c>
      <c r="AH23" s="20">
        <v>60</v>
      </c>
      <c r="AI23" s="21">
        <v>8500</v>
      </c>
      <c r="AJ23" s="24">
        <f t="shared" si="20"/>
        <v>510000</v>
      </c>
      <c r="AL23" s="20"/>
      <c r="AM23" s="21"/>
      <c r="AN23" s="22"/>
      <c r="AP23" s="20">
        <v>300</v>
      </c>
      <c r="AQ23" s="21">
        <v>1500</v>
      </c>
      <c r="AR23" s="24">
        <f>AP23*AQ23</f>
        <v>450000</v>
      </c>
    </row>
    <row r="24" spans="2:44" x14ac:dyDescent="0.35">
      <c r="F24" t="s">
        <v>3</v>
      </c>
      <c r="J24">
        <v>54</v>
      </c>
      <c r="K24" s="5">
        <v>9000</v>
      </c>
      <c r="L24" s="2">
        <f t="shared" si="21"/>
        <v>486000</v>
      </c>
      <c r="R24">
        <v>720</v>
      </c>
      <c r="S24">
        <v>300</v>
      </c>
      <c r="T24" s="2">
        <f t="shared" ref="T24:T26" si="23">R24*S24</f>
        <v>216000</v>
      </c>
      <c r="V24">
        <v>720</v>
      </c>
      <c r="W24">
        <v>350</v>
      </c>
      <c r="X24" s="2">
        <f>V24*W24</f>
        <v>252000</v>
      </c>
      <c r="Z24" s="20">
        <v>1215</v>
      </c>
      <c r="AA24" s="23">
        <v>1600</v>
      </c>
      <c r="AB24" s="24">
        <f t="shared" si="19"/>
        <v>1944000</v>
      </c>
      <c r="AD24" s="20">
        <v>472.5</v>
      </c>
      <c r="AE24" s="21">
        <v>400</v>
      </c>
      <c r="AF24" s="24">
        <f t="shared" si="22"/>
        <v>189000</v>
      </c>
      <c r="AH24" s="20">
        <v>30</v>
      </c>
      <c r="AI24" s="21">
        <v>13500</v>
      </c>
      <c r="AJ24" s="24">
        <f t="shared" si="20"/>
        <v>405000</v>
      </c>
      <c r="AL24" s="20" t="s">
        <v>4</v>
      </c>
      <c r="AM24" s="21"/>
      <c r="AN24" s="22"/>
      <c r="AP24" s="20"/>
      <c r="AQ24" s="21"/>
      <c r="AR24" s="25">
        <f>SUM(AR23)</f>
        <v>450000</v>
      </c>
    </row>
    <row r="25" spans="2:44" x14ac:dyDescent="0.35">
      <c r="B25" t="s">
        <v>3</v>
      </c>
      <c r="F25">
        <v>150</v>
      </c>
      <c r="G25">
        <v>2500</v>
      </c>
      <c r="H25" s="2">
        <f>F25*G25</f>
        <v>375000</v>
      </c>
      <c r="J25">
        <v>12</v>
      </c>
      <c r="K25" s="5">
        <v>10500</v>
      </c>
      <c r="L25" s="2">
        <f t="shared" si="21"/>
        <v>126000</v>
      </c>
      <c r="N25" t="s">
        <v>4</v>
      </c>
      <c r="R25">
        <v>405</v>
      </c>
      <c r="S25">
        <v>260</v>
      </c>
      <c r="T25" s="2">
        <f t="shared" si="23"/>
        <v>105300</v>
      </c>
      <c r="V25">
        <v>810</v>
      </c>
      <c r="W25">
        <v>350</v>
      </c>
      <c r="X25" s="2">
        <f t="shared" ref="X25:X27" si="24">V25*W25</f>
        <v>283500</v>
      </c>
      <c r="Z25" s="20"/>
      <c r="AA25" s="21"/>
      <c r="AB25" s="25">
        <f>SUM(AB20:AB24)</f>
        <v>3161291.4</v>
      </c>
      <c r="AD25" s="20">
        <v>472.5</v>
      </c>
      <c r="AE25" s="21">
        <v>250</v>
      </c>
      <c r="AF25" s="24">
        <f t="shared" si="22"/>
        <v>118125</v>
      </c>
      <c r="AH25" s="20">
        <v>19.7</v>
      </c>
      <c r="AI25" s="21">
        <v>15000</v>
      </c>
      <c r="AJ25" s="24">
        <f t="shared" si="20"/>
        <v>295500</v>
      </c>
      <c r="AL25" s="20">
        <v>180</v>
      </c>
      <c r="AM25" s="21">
        <v>300</v>
      </c>
      <c r="AN25" s="24">
        <f>AL25*AM25</f>
        <v>54000</v>
      </c>
      <c r="AP25" s="20"/>
      <c r="AQ25" s="21"/>
      <c r="AR25" s="22"/>
    </row>
    <row r="26" spans="2:44" x14ac:dyDescent="0.35">
      <c r="B26">
        <v>20</v>
      </c>
      <c r="C26">
        <v>3000</v>
      </c>
      <c r="D26" s="2">
        <f>B26*C26</f>
        <v>60000</v>
      </c>
      <c r="H26" s="4">
        <f>SUM(H25)</f>
        <v>375000</v>
      </c>
      <c r="J26">
        <v>6.75</v>
      </c>
      <c r="K26" s="5">
        <v>16000</v>
      </c>
      <c r="L26" s="2">
        <f t="shared" si="21"/>
        <v>108000</v>
      </c>
      <c r="N26">
        <v>35.840000000000003</v>
      </c>
      <c r="O26">
        <v>300</v>
      </c>
      <c r="P26" s="2">
        <f>N26*O26</f>
        <v>10752.000000000002</v>
      </c>
      <c r="R26">
        <v>270</v>
      </c>
      <c r="S26">
        <v>860</v>
      </c>
      <c r="T26" s="2">
        <f t="shared" si="23"/>
        <v>232200</v>
      </c>
      <c r="V26">
        <v>382.5</v>
      </c>
      <c r="W26">
        <v>300</v>
      </c>
      <c r="X26" s="2">
        <f t="shared" si="24"/>
        <v>114750</v>
      </c>
      <c r="Z26" s="20"/>
      <c r="AA26" s="21"/>
      <c r="AB26" s="22"/>
      <c r="AD26" s="20">
        <v>945</v>
      </c>
      <c r="AE26" s="21">
        <v>1600</v>
      </c>
      <c r="AF26" s="24">
        <f t="shared" si="22"/>
        <v>1512000</v>
      </c>
      <c r="AH26" s="20">
        <v>170</v>
      </c>
      <c r="AI26" s="21">
        <v>1000</v>
      </c>
      <c r="AJ26" s="24">
        <f t="shared" si="20"/>
        <v>170000</v>
      </c>
      <c r="AL26" s="20">
        <v>20</v>
      </c>
      <c r="AM26" s="21">
        <v>6500</v>
      </c>
      <c r="AN26" s="24">
        <f t="shared" ref="AN26:AN30" si="25">AL26*AM26</f>
        <v>130000</v>
      </c>
      <c r="AP26" s="20">
        <v>180</v>
      </c>
      <c r="AQ26" s="21">
        <v>250</v>
      </c>
      <c r="AR26" s="24">
        <f>AP26*AQ26</f>
        <v>45000</v>
      </c>
    </row>
    <row r="27" spans="2:44" x14ac:dyDescent="0.35">
      <c r="D27" s="4">
        <f>SUM(D26)</f>
        <v>60000</v>
      </c>
      <c r="H27" s="6"/>
      <c r="J27">
        <v>68.64</v>
      </c>
      <c r="K27" s="5">
        <v>14000</v>
      </c>
      <c r="L27" s="2">
        <f t="shared" si="21"/>
        <v>960960</v>
      </c>
      <c r="N27">
        <v>48</v>
      </c>
      <c r="O27" s="5">
        <v>7500</v>
      </c>
      <c r="P27" s="2">
        <f t="shared" ref="P27:P32" si="26">N27*O27</f>
        <v>360000</v>
      </c>
      <c r="T27" s="4">
        <f>SUM(T23:T26)</f>
        <v>675000</v>
      </c>
      <c r="V27">
        <v>225</v>
      </c>
      <c r="W27">
        <v>1000</v>
      </c>
      <c r="X27" s="2">
        <f t="shared" si="24"/>
        <v>225000</v>
      </c>
      <c r="Z27" s="20" t="s">
        <v>4</v>
      </c>
      <c r="AA27" s="21"/>
      <c r="AB27" s="22"/>
      <c r="AD27" s="20"/>
      <c r="AE27" s="21"/>
      <c r="AF27" s="25">
        <f>SUM(AF22:AF26)</f>
        <v>2399671.0499999998</v>
      </c>
      <c r="AH27" s="20">
        <v>7.5</v>
      </c>
      <c r="AI27" s="21">
        <v>20000</v>
      </c>
      <c r="AJ27" s="24">
        <f t="shared" si="20"/>
        <v>150000</v>
      </c>
      <c r="AL27" s="20">
        <v>10.199999999999999</v>
      </c>
      <c r="AM27" s="21">
        <v>9500</v>
      </c>
      <c r="AN27" s="24">
        <f t="shared" si="25"/>
        <v>96900</v>
      </c>
      <c r="AP27" s="20">
        <v>40</v>
      </c>
      <c r="AQ27" s="21">
        <v>5500</v>
      </c>
      <c r="AR27" s="24">
        <f t="shared" ref="AR27:AR31" si="27">AP27*AQ27</f>
        <v>220000</v>
      </c>
    </row>
    <row r="28" spans="2:44" x14ac:dyDescent="0.35">
      <c r="F28" t="s">
        <v>4</v>
      </c>
      <c r="H28" s="6"/>
      <c r="J28">
        <v>27.5</v>
      </c>
      <c r="K28" s="5">
        <v>16000</v>
      </c>
      <c r="L28" s="2">
        <f t="shared" si="21"/>
        <v>440000</v>
      </c>
      <c r="N28">
        <v>12</v>
      </c>
      <c r="O28" s="5">
        <v>8000</v>
      </c>
      <c r="P28" s="2">
        <f t="shared" si="26"/>
        <v>96000</v>
      </c>
      <c r="X28" s="4">
        <f>SUM(X24:X27)</f>
        <v>875250</v>
      </c>
      <c r="Z28" s="20">
        <v>450</v>
      </c>
      <c r="AA28" s="21">
        <v>400</v>
      </c>
      <c r="AB28" s="24">
        <f>Z28*AA28</f>
        <v>180000</v>
      </c>
      <c r="AD28" s="20"/>
      <c r="AE28" s="21"/>
      <c r="AF28" s="22"/>
      <c r="AH28" s="20"/>
      <c r="AI28" s="21"/>
      <c r="AJ28" s="25">
        <f>SUM(AJ20:AJ27)</f>
        <v>1620500</v>
      </c>
      <c r="AL28" s="20">
        <v>7.9</v>
      </c>
      <c r="AM28" s="23">
        <v>12000</v>
      </c>
      <c r="AN28" s="24">
        <f t="shared" si="25"/>
        <v>94800</v>
      </c>
      <c r="AP28" s="20">
        <v>20.399999999999999</v>
      </c>
      <c r="AQ28" s="23">
        <v>8500</v>
      </c>
      <c r="AR28" s="24">
        <f t="shared" si="27"/>
        <v>173400</v>
      </c>
    </row>
    <row r="29" spans="2:44" x14ac:dyDescent="0.35">
      <c r="B29" t="s">
        <v>4</v>
      </c>
      <c r="F29">
        <v>30</v>
      </c>
      <c r="G29">
        <v>400</v>
      </c>
      <c r="H29" s="2">
        <f>F29*G29</f>
        <v>12000</v>
      </c>
      <c r="J29">
        <v>204</v>
      </c>
      <c r="K29" s="5">
        <v>1000</v>
      </c>
      <c r="L29" s="2">
        <f t="shared" si="21"/>
        <v>204000</v>
      </c>
      <c r="N29">
        <v>35.4</v>
      </c>
      <c r="O29" s="5">
        <v>10000</v>
      </c>
      <c r="P29" s="2">
        <f t="shared" si="26"/>
        <v>354000</v>
      </c>
      <c r="R29" t="s">
        <v>3</v>
      </c>
      <c r="Z29" s="20">
        <v>90</v>
      </c>
      <c r="AA29" s="21">
        <v>400</v>
      </c>
      <c r="AB29" s="24">
        <f t="shared" ref="AB29:AB38" si="28">Z29*AA29</f>
        <v>36000</v>
      </c>
      <c r="AD29" s="20" t="s">
        <v>4</v>
      </c>
      <c r="AE29" s="21"/>
      <c r="AF29" s="22"/>
      <c r="AH29" s="20"/>
      <c r="AI29" s="21"/>
      <c r="AJ29" s="22"/>
      <c r="AL29" s="20">
        <v>40</v>
      </c>
      <c r="AM29" s="21">
        <v>1000</v>
      </c>
      <c r="AN29" s="24">
        <f t="shared" si="25"/>
        <v>40000</v>
      </c>
      <c r="AP29" s="20">
        <v>7.9</v>
      </c>
      <c r="AQ29" s="23">
        <v>9500</v>
      </c>
      <c r="AR29" s="24">
        <f t="shared" si="27"/>
        <v>75050</v>
      </c>
    </row>
    <row r="30" spans="2:44" x14ac:dyDescent="0.35">
      <c r="B30" s="5">
        <v>10000</v>
      </c>
      <c r="C30">
        <v>350</v>
      </c>
      <c r="D30" s="2">
        <f>B30*C30</f>
        <v>3500000</v>
      </c>
      <c r="F30">
        <v>100.8</v>
      </c>
      <c r="G30">
        <v>400</v>
      </c>
      <c r="H30" s="2">
        <f t="shared" ref="H30:H36" si="29">F30*G30</f>
        <v>40320</v>
      </c>
      <c r="L30" s="3">
        <f>SUM(L22:L29)</f>
        <v>2411984</v>
      </c>
      <c r="N30">
        <v>24</v>
      </c>
      <c r="O30" s="5">
        <v>10500</v>
      </c>
      <c r="P30" s="2">
        <f t="shared" si="26"/>
        <v>252000</v>
      </c>
      <c r="R30">
        <v>394.5</v>
      </c>
      <c r="S30">
        <v>1800</v>
      </c>
      <c r="T30" s="2">
        <f>R30*S30</f>
        <v>710100</v>
      </c>
      <c r="V30" t="s">
        <v>3</v>
      </c>
      <c r="Z30" s="20">
        <v>18</v>
      </c>
      <c r="AA30" s="21">
        <v>4000</v>
      </c>
      <c r="AB30" s="24">
        <f t="shared" si="28"/>
        <v>72000</v>
      </c>
      <c r="AD30" s="20">
        <v>275</v>
      </c>
      <c r="AE30" s="21">
        <v>270</v>
      </c>
      <c r="AF30" s="24">
        <f>AD30*AE30</f>
        <v>74250</v>
      </c>
      <c r="AH30" s="20" t="s">
        <v>7</v>
      </c>
      <c r="AI30" s="21"/>
      <c r="AJ30" s="22"/>
      <c r="AL30" s="20">
        <v>4.5</v>
      </c>
      <c r="AM30" s="23">
        <v>20000</v>
      </c>
      <c r="AN30" s="24">
        <f t="shared" si="25"/>
        <v>90000</v>
      </c>
      <c r="AP30" s="20">
        <v>40</v>
      </c>
      <c r="AQ30" s="21">
        <v>1000</v>
      </c>
      <c r="AR30" s="24">
        <f t="shared" si="27"/>
        <v>40000</v>
      </c>
    </row>
    <row r="31" spans="2:44" x14ac:dyDescent="0.35">
      <c r="B31">
        <v>10</v>
      </c>
      <c r="C31">
        <v>300</v>
      </c>
      <c r="D31" s="2">
        <f t="shared" ref="D31:D46" si="30">B31*C31</f>
        <v>3000</v>
      </c>
      <c r="F31">
        <v>50</v>
      </c>
      <c r="G31" s="5">
        <v>9000</v>
      </c>
      <c r="H31" s="2">
        <f t="shared" si="29"/>
        <v>450000</v>
      </c>
      <c r="N31">
        <v>100</v>
      </c>
      <c r="O31" s="5">
        <v>900</v>
      </c>
      <c r="P31" s="2">
        <f t="shared" si="26"/>
        <v>90000</v>
      </c>
      <c r="T31" s="4">
        <f>SUM(T30)</f>
        <v>710100</v>
      </c>
      <c r="V31">
        <v>150</v>
      </c>
      <c r="W31">
        <v>2300</v>
      </c>
      <c r="X31" s="2">
        <f>V31*W31</f>
        <v>345000</v>
      </c>
      <c r="Z31" s="20">
        <v>18</v>
      </c>
      <c r="AA31" s="21">
        <v>5000</v>
      </c>
      <c r="AB31" s="24">
        <f t="shared" si="28"/>
        <v>90000</v>
      </c>
      <c r="AD31" s="20">
        <v>67.5</v>
      </c>
      <c r="AE31" s="21">
        <v>300</v>
      </c>
      <c r="AF31" s="24">
        <f t="shared" ref="AF31:AF40" si="31">AD31*AE31</f>
        <v>20250</v>
      </c>
      <c r="AH31" s="26">
        <v>31800</v>
      </c>
      <c r="AI31" s="21">
        <v>12</v>
      </c>
      <c r="AJ31" s="24">
        <f>AH31*AI31</f>
        <v>381600</v>
      </c>
      <c r="AL31" s="20"/>
      <c r="AM31" s="21"/>
      <c r="AN31" s="25">
        <f>SUM(AN25:AN30)</f>
        <v>505700</v>
      </c>
      <c r="AP31" s="20">
        <v>4.5</v>
      </c>
      <c r="AQ31" s="23">
        <v>12000</v>
      </c>
      <c r="AR31" s="24">
        <f t="shared" si="27"/>
        <v>54000</v>
      </c>
    </row>
    <row r="32" spans="2:44" x14ac:dyDescent="0.35">
      <c r="B32">
        <v>11</v>
      </c>
      <c r="C32">
        <v>370</v>
      </c>
      <c r="D32" s="2">
        <f t="shared" si="30"/>
        <v>4070</v>
      </c>
      <c r="F32">
        <v>4.5</v>
      </c>
      <c r="G32" s="5">
        <v>15000</v>
      </c>
      <c r="H32" s="2">
        <f t="shared" si="29"/>
        <v>67500</v>
      </c>
      <c r="J32" t="s">
        <v>7</v>
      </c>
      <c r="N32">
        <v>22.5</v>
      </c>
      <c r="O32" s="5">
        <v>12000</v>
      </c>
      <c r="P32" s="2">
        <f t="shared" si="26"/>
        <v>270000</v>
      </c>
      <c r="X32" s="4">
        <f>SUM(X31)</f>
        <v>345000</v>
      </c>
      <c r="Z32" s="20">
        <v>42</v>
      </c>
      <c r="AA32" s="21">
        <v>6000</v>
      </c>
      <c r="AB32" s="24">
        <f t="shared" si="28"/>
        <v>252000</v>
      </c>
      <c r="AD32" s="20">
        <v>9</v>
      </c>
      <c r="AE32" s="21">
        <v>4000</v>
      </c>
      <c r="AF32" s="24">
        <f t="shared" si="31"/>
        <v>36000</v>
      </c>
      <c r="AH32" s="58">
        <v>1868.05</v>
      </c>
      <c r="AI32" s="21">
        <v>1100</v>
      </c>
      <c r="AJ32" s="24">
        <f>AH32*AI32</f>
        <v>2054855</v>
      </c>
      <c r="AL32" s="20"/>
      <c r="AM32" s="21"/>
      <c r="AN32" s="22"/>
      <c r="AP32" s="20"/>
      <c r="AQ32" s="21"/>
      <c r="AR32" s="25">
        <f>SUM(AR26:AR31)</f>
        <v>607450</v>
      </c>
    </row>
    <row r="33" spans="2:44" x14ac:dyDescent="0.35">
      <c r="B33">
        <v>10</v>
      </c>
      <c r="C33">
        <v>2200</v>
      </c>
      <c r="D33" s="2">
        <f t="shared" si="30"/>
        <v>22000</v>
      </c>
      <c r="F33">
        <v>30</v>
      </c>
      <c r="G33" s="5">
        <v>12500</v>
      </c>
      <c r="H33" s="2">
        <f t="shared" si="29"/>
        <v>375000</v>
      </c>
      <c r="J33" s="5">
        <v>7000</v>
      </c>
      <c r="K33">
        <v>15</v>
      </c>
      <c r="L33" s="2">
        <f>J33*K33</f>
        <v>105000</v>
      </c>
      <c r="P33" s="4">
        <f>SUM(P26:P32)</f>
        <v>1432752</v>
      </c>
      <c r="R33" t="s">
        <v>4</v>
      </c>
      <c r="Z33" s="20">
        <v>27.558</v>
      </c>
      <c r="AA33" s="23">
        <v>10000</v>
      </c>
      <c r="AB33" s="24">
        <f t="shared" si="28"/>
        <v>275580</v>
      </c>
      <c r="AD33" s="20">
        <v>18</v>
      </c>
      <c r="AE33" s="21">
        <v>5000</v>
      </c>
      <c r="AF33" s="24">
        <f t="shared" si="31"/>
        <v>90000</v>
      </c>
      <c r="AH33" s="20"/>
      <c r="AI33" s="21"/>
      <c r="AJ33" s="25">
        <f>SUM(AJ31:AJ32)</f>
        <v>2436455</v>
      </c>
      <c r="AL33" s="20" t="s">
        <v>6</v>
      </c>
      <c r="AM33" s="21"/>
      <c r="AN33" s="22"/>
      <c r="AP33" s="20"/>
      <c r="AQ33" s="21"/>
      <c r="AR33" s="22"/>
    </row>
    <row r="34" spans="2:44" x14ac:dyDescent="0.35">
      <c r="B34">
        <v>10</v>
      </c>
      <c r="C34">
        <v>2200</v>
      </c>
      <c r="D34" s="2">
        <f t="shared" si="30"/>
        <v>22000</v>
      </c>
      <c r="F34">
        <v>15.76</v>
      </c>
      <c r="G34" s="5">
        <v>18000</v>
      </c>
      <c r="H34" s="2">
        <f t="shared" si="29"/>
        <v>283680</v>
      </c>
      <c r="J34">
        <v>2100</v>
      </c>
      <c r="K34">
        <v>20</v>
      </c>
      <c r="L34" s="2">
        <f t="shared" ref="L34:L35" si="32">J34*K34</f>
        <v>42000</v>
      </c>
      <c r="R34">
        <v>30</v>
      </c>
      <c r="S34">
        <v>200</v>
      </c>
      <c r="T34" s="2">
        <f>R34*S34</f>
        <v>6000</v>
      </c>
      <c r="V34" t="s">
        <v>4</v>
      </c>
      <c r="Z34" s="20">
        <v>27</v>
      </c>
      <c r="AA34" s="21">
        <v>10500</v>
      </c>
      <c r="AB34" s="24">
        <f t="shared" si="28"/>
        <v>283500</v>
      </c>
      <c r="AD34" s="20">
        <v>36</v>
      </c>
      <c r="AE34" s="21">
        <v>6000</v>
      </c>
      <c r="AF34" s="24">
        <f t="shared" si="31"/>
        <v>216000</v>
      </c>
      <c r="AH34" s="20"/>
      <c r="AI34" s="21"/>
      <c r="AJ34" s="22"/>
      <c r="AL34" s="26">
        <v>5200</v>
      </c>
      <c r="AM34" s="21">
        <v>160</v>
      </c>
      <c r="AN34" s="24">
        <f>AL34*AM34</f>
        <v>832000</v>
      </c>
      <c r="AP34" s="20" t="s">
        <v>6</v>
      </c>
      <c r="AQ34" s="21"/>
      <c r="AR34" s="22"/>
    </row>
    <row r="35" spans="2:44" x14ac:dyDescent="0.35">
      <c r="B35">
        <v>51</v>
      </c>
      <c r="C35">
        <v>300</v>
      </c>
      <c r="D35" s="2">
        <f t="shared" si="30"/>
        <v>15300</v>
      </c>
      <c r="F35">
        <v>136</v>
      </c>
      <c r="G35" s="5">
        <v>1000</v>
      </c>
      <c r="H35" s="2">
        <f t="shared" si="29"/>
        <v>136000</v>
      </c>
      <c r="J35">
        <v>859.62</v>
      </c>
      <c r="K35">
        <v>1800</v>
      </c>
      <c r="L35" s="2">
        <f t="shared" si="32"/>
        <v>1547316</v>
      </c>
      <c r="N35" t="s">
        <v>8</v>
      </c>
      <c r="R35">
        <v>89.6</v>
      </c>
      <c r="S35">
        <v>250</v>
      </c>
      <c r="T35" s="2">
        <f t="shared" ref="T35:T42" si="33">R35*S35</f>
        <v>22400</v>
      </c>
      <c r="V35">
        <v>840</v>
      </c>
      <c r="W35">
        <v>400</v>
      </c>
      <c r="X35" s="2">
        <f>V35*W35</f>
        <v>336000</v>
      </c>
      <c r="Z35" s="20">
        <v>19.297999999999998</v>
      </c>
      <c r="AA35" s="21">
        <v>11000</v>
      </c>
      <c r="AB35" s="24">
        <f t="shared" si="28"/>
        <v>212277.99999999997</v>
      </c>
      <c r="AD35" s="20">
        <v>24.498000000000001</v>
      </c>
      <c r="AE35" s="21">
        <v>8000</v>
      </c>
      <c r="AF35" s="24">
        <f t="shared" si="31"/>
        <v>195984</v>
      </c>
      <c r="AH35" s="20" t="s">
        <v>12</v>
      </c>
      <c r="AI35" s="21"/>
      <c r="AJ35" s="22"/>
      <c r="AL35" s="20">
        <v>470</v>
      </c>
      <c r="AM35" s="21">
        <v>1500</v>
      </c>
      <c r="AN35" s="24">
        <f>AL35*AM35</f>
        <v>705000</v>
      </c>
      <c r="AP35" s="26">
        <v>2000</v>
      </c>
      <c r="AQ35" s="21">
        <v>200</v>
      </c>
      <c r="AR35" s="24">
        <f>AP35*AQ35</f>
        <v>400000</v>
      </c>
    </row>
    <row r="36" spans="2:44" x14ac:dyDescent="0.35">
      <c r="B36">
        <v>50</v>
      </c>
      <c r="C36">
        <v>400</v>
      </c>
      <c r="D36" s="2">
        <f t="shared" si="30"/>
        <v>20000</v>
      </c>
      <c r="F36">
        <v>20</v>
      </c>
      <c r="G36" s="5">
        <v>1000</v>
      </c>
      <c r="H36" s="2">
        <f t="shared" si="29"/>
        <v>20000</v>
      </c>
      <c r="L36" s="4">
        <f>SUM(L33:L35)</f>
        <v>1694316</v>
      </c>
      <c r="N36">
        <v>60</v>
      </c>
      <c r="O36">
        <v>3000</v>
      </c>
      <c r="P36" s="2">
        <f>N36*O36</f>
        <v>180000</v>
      </c>
      <c r="R36">
        <v>30</v>
      </c>
      <c r="S36">
        <v>5000</v>
      </c>
      <c r="T36" s="2">
        <f t="shared" si="33"/>
        <v>150000</v>
      </c>
      <c r="V36">
        <v>50</v>
      </c>
      <c r="W36">
        <v>7500</v>
      </c>
      <c r="X36" s="2">
        <f t="shared" ref="X36:X43" si="34">V36*W36</f>
        <v>375000</v>
      </c>
      <c r="Z36" s="20">
        <v>102.62</v>
      </c>
      <c r="AA36" s="21">
        <v>1000</v>
      </c>
      <c r="AB36" s="24">
        <f t="shared" si="28"/>
        <v>102620</v>
      </c>
      <c r="AD36" s="20">
        <v>15.84</v>
      </c>
      <c r="AE36" s="23">
        <v>9000</v>
      </c>
      <c r="AF36" s="24">
        <f t="shared" si="31"/>
        <v>142560</v>
      </c>
      <c r="AH36" s="20">
        <v>1</v>
      </c>
      <c r="AI36" s="23">
        <v>80000</v>
      </c>
      <c r="AJ36" s="24">
        <f>AH36*AI36</f>
        <v>80000</v>
      </c>
      <c r="AL36" s="20"/>
      <c r="AM36" s="21"/>
      <c r="AN36" s="25">
        <f>SUM(AN34:AN35)</f>
        <v>1537000</v>
      </c>
      <c r="AP36" s="20">
        <v>125</v>
      </c>
      <c r="AQ36" s="21">
        <v>1000</v>
      </c>
      <c r="AR36" s="24">
        <f>AP36*AQ36</f>
        <v>125000</v>
      </c>
    </row>
    <row r="37" spans="2:44" x14ac:dyDescent="0.35">
      <c r="B37">
        <v>7</v>
      </c>
      <c r="C37">
        <v>7000</v>
      </c>
      <c r="D37" s="2">
        <f t="shared" si="30"/>
        <v>49000</v>
      </c>
      <c r="H37" s="4">
        <f>SUM(H29:H36)</f>
        <v>1384500</v>
      </c>
      <c r="P37" s="4">
        <f>SUM(P36)</f>
        <v>180000</v>
      </c>
      <c r="R37">
        <v>12</v>
      </c>
      <c r="S37">
        <v>7000</v>
      </c>
      <c r="T37" s="2">
        <f t="shared" si="33"/>
        <v>84000</v>
      </c>
      <c r="V37">
        <v>10</v>
      </c>
      <c r="W37">
        <v>8500</v>
      </c>
      <c r="X37" s="2">
        <f t="shared" si="34"/>
        <v>85000</v>
      </c>
      <c r="Z37" s="20">
        <v>580</v>
      </c>
      <c r="AA37" s="21">
        <v>2600</v>
      </c>
      <c r="AB37" s="24">
        <f t="shared" si="28"/>
        <v>1508000</v>
      </c>
      <c r="AD37" s="20">
        <v>17.327999999999999</v>
      </c>
      <c r="AE37" s="23">
        <v>9500</v>
      </c>
      <c r="AF37" s="24">
        <f t="shared" si="31"/>
        <v>164616</v>
      </c>
      <c r="AH37" s="20"/>
      <c r="AI37" s="21"/>
      <c r="AJ37" s="25">
        <f>SUM(AJ36)</f>
        <v>80000</v>
      </c>
      <c r="AL37" s="20"/>
      <c r="AM37" s="21"/>
      <c r="AN37" s="22"/>
      <c r="AP37" s="20"/>
      <c r="AQ37" s="21"/>
      <c r="AR37" s="25">
        <f>SUM(AR35:AR36)</f>
        <v>525000</v>
      </c>
    </row>
    <row r="38" spans="2:44" x14ac:dyDescent="0.35">
      <c r="B38">
        <v>20</v>
      </c>
      <c r="C38">
        <v>7500</v>
      </c>
      <c r="D38" s="2">
        <f t="shared" si="30"/>
        <v>150000</v>
      </c>
      <c r="J38" t="s">
        <v>8</v>
      </c>
      <c r="R38">
        <v>13.5</v>
      </c>
      <c r="S38">
        <v>10000</v>
      </c>
      <c r="T38" s="2">
        <f t="shared" si="33"/>
        <v>135000</v>
      </c>
      <c r="V38">
        <v>34.020000000000003</v>
      </c>
      <c r="W38" s="5">
        <v>15000</v>
      </c>
      <c r="X38" s="2">
        <f t="shared" si="34"/>
        <v>510300.00000000006</v>
      </c>
      <c r="Z38" s="20">
        <v>130.5</v>
      </c>
      <c r="AA38" s="21">
        <v>4000</v>
      </c>
      <c r="AB38" s="24">
        <f t="shared" si="28"/>
        <v>522000</v>
      </c>
      <c r="AD38" s="20">
        <v>92.28</v>
      </c>
      <c r="AE38" s="21">
        <v>1000</v>
      </c>
      <c r="AF38" s="24">
        <f t="shared" si="31"/>
        <v>92280</v>
      </c>
      <c r="AH38" s="20"/>
      <c r="AI38" s="21"/>
      <c r="AJ38" s="22"/>
      <c r="AL38" s="20" t="s">
        <v>11</v>
      </c>
      <c r="AM38" s="21"/>
      <c r="AN38" s="22"/>
      <c r="AP38" s="20"/>
      <c r="AQ38" s="21"/>
      <c r="AR38" s="22"/>
    </row>
    <row r="39" spans="2:44" x14ac:dyDescent="0.35">
      <c r="B39">
        <v>20</v>
      </c>
      <c r="C39">
        <v>8000</v>
      </c>
      <c r="D39" s="2">
        <f t="shared" si="30"/>
        <v>160000</v>
      </c>
      <c r="F39" t="s">
        <v>7</v>
      </c>
      <c r="J39">
        <v>15</v>
      </c>
      <c r="K39">
        <v>2700</v>
      </c>
      <c r="L39" s="2">
        <f>J39*K39</f>
        <v>40500</v>
      </c>
      <c r="N39" t="s">
        <v>9</v>
      </c>
      <c r="R39">
        <v>27.6</v>
      </c>
      <c r="S39">
        <v>10000</v>
      </c>
      <c r="T39" s="2">
        <f t="shared" si="33"/>
        <v>276000</v>
      </c>
      <c r="V39">
        <v>16.91</v>
      </c>
      <c r="W39">
        <v>16500</v>
      </c>
      <c r="X39" s="2">
        <f t="shared" si="34"/>
        <v>279015</v>
      </c>
      <c r="Z39" s="20"/>
      <c r="AA39" s="21"/>
      <c r="AB39" s="25">
        <f>SUM(AB28:AB38)</f>
        <v>3533978</v>
      </c>
      <c r="AD39" s="20">
        <v>300</v>
      </c>
      <c r="AE39" s="21">
        <v>2500</v>
      </c>
      <c r="AF39" s="24">
        <f t="shared" si="31"/>
        <v>750000</v>
      </c>
      <c r="AH39" s="20"/>
      <c r="AI39" s="21" t="s">
        <v>22</v>
      </c>
      <c r="AJ39" s="27">
        <f>AJ37+AJ33+AJ28+AJ17+AJ13+AJ9</f>
        <v>5855955</v>
      </c>
      <c r="AL39" s="20">
        <v>1600</v>
      </c>
      <c r="AM39" s="21">
        <v>600</v>
      </c>
      <c r="AN39" s="24">
        <f>AL39*AM39</f>
        <v>960000</v>
      </c>
      <c r="AP39" s="20" t="s">
        <v>11</v>
      </c>
      <c r="AQ39" s="21"/>
      <c r="AR39" s="22"/>
    </row>
    <row r="40" spans="2:44" x14ac:dyDescent="0.35">
      <c r="B40">
        <v>7</v>
      </c>
      <c r="C40" s="5">
        <v>9000</v>
      </c>
      <c r="D40" s="2">
        <f t="shared" si="30"/>
        <v>63000</v>
      </c>
      <c r="F40" s="5">
        <v>14000</v>
      </c>
      <c r="G40">
        <v>15</v>
      </c>
      <c r="H40" s="2">
        <f>F40*G40</f>
        <v>210000</v>
      </c>
      <c r="L40" s="4">
        <f>SUM(L39)</f>
        <v>40500</v>
      </c>
      <c r="N40">
        <v>400</v>
      </c>
      <c r="O40">
        <v>135</v>
      </c>
      <c r="P40" s="2">
        <f>N40*O40</f>
        <v>54000</v>
      </c>
      <c r="R40">
        <v>15.89</v>
      </c>
      <c r="S40">
        <v>12000</v>
      </c>
      <c r="T40" s="2">
        <f t="shared" si="33"/>
        <v>190680</v>
      </c>
      <c r="V40">
        <v>170</v>
      </c>
      <c r="W40">
        <v>1000</v>
      </c>
      <c r="X40" s="2">
        <f t="shared" si="34"/>
        <v>170000</v>
      </c>
      <c r="Z40" s="20"/>
      <c r="AA40" s="21"/>
      <c r="AB40" s="22"/>
      <c r="AD40" s="20">
        <v>135</v>
      </c>
      <c r="AE40" s="21">
        <v>3500</v>
      </c>
      <c r="AF40" s="24">
        <f t="shared" si="31"/>
        <v>472500</v>
      </c>
      <c r="AH40" s="20"/>
      <c r="AI40" s="28">
        <v>0.16</v>
      </c>
      <c r="AJ40" s="29">
        <f>AJ39*0.16</f>
        <v>936952.8</v>
      </c>
      <c r="AL40" s="20">
        <v>405</v>
      </c>
      <c r="AM40" s="21">
        <v>700</v>
      </c>
      <c r="AN40" s="24">
        <f>AL40*AM40</f>
        <v>283500</v>
      </c>
      <c r="AP40" s="20">
        <v>1500</v>
      </c>
      <c r="AQ40" s="21">
        <v>800</v>
      </c>
      <c r="AR40" s="24">
        <f>AP40*AQ40</f>
        <v>1200000</v>
      </c>
    </row>
    <row r="41" spans="2:44" x14ac:dyDescent="0.35">
      <c r="B41">
        <v>54</v>
      </c>
      <c r="C41">
        <v>400</v>
      </c>
      <c r="D41" s="2">
        <f t="shared" si="30"/>
        <v>21600</v>
      </c>
      <c r="F41">
        <v>100</v>
      </c>
      <c r="G41">
        <v>2000</v>
      </c>
      <c r="H41" s="2">
        <f>F41*G41</f>
        <v>200000</v>
      </c>
      <c r="N41">
        <v>320</v>
      </c>
      <c r="O41">
        <v>130</v>
      </c>
      <c r="P41" s="2">
        <f>N41*O41</f>
        <v>41600</v>
      </c>
      <c r="R41">
        <v>85</v>
      </c>
      <c r="S41">
        <v>900</v>
      </c>
      <c r="T41" s="2">
        <f t="shared" si="33"/>
        <v>76500</v>
      </c>
      <c r="V41">
        <v>200</v>
      </c>
      <c r="W41">
        <v>4500</v>
      </c>
      <c r="X41" s="2">
        <f t="shared" si="34"/>
        <v>900000</v>
      </c>
      <c r="Z41" s="20" t="s">
        <v>5</v>
      </c>
      <c r="AA41" s="21"/>
      <c r="AB41" s="22"/>
      <c r="AD41" s="20"/>
      <c r="AE41" s="21"/>
      <c r="AF41" s="25">
        <f>SUM(AF30:AF40)</f>
        <v>2254440</v>
      </c>
      <c r="AH41" s="20"/>
      <c r="AI41" s="21" t="s">
        <v>19</v>
      </c>
      <c r="AJ41" s="29">
        <f>AJ39+AJ40</f>
        <v>6792907.7999999998</v>
      </c>
      <c r="AL41" s="20"/>
      <c r="AM41" s="21"/>
      <c r="AN41" s="25">
        <f>SUM(AN39:AN40)</f>
        <v>1243500</v>
      </c>
      <c r="AP41" s="20">
        <v>500</v>
      </c>
      <c r="AQ41" s="21">
        <v>800</v>
      </c>
      <c r="AR41" s="24">
        <f>AP41*AQ41</f>
        <v>400000</v>
      </c>
    </row>
    <row r="42" spans="2:44" x14ac:dyDescent="0.35">
      <c r="B42">
        <v>30</v>
      </c>
      <c r="C42" s="5">
        <v>12000</v>
      </c>
      <c r="D42" s="2">
        <f t="shared" si="30"/>
        <v>360000</v>
      </c>
      <c r="H42" s="4">
        <f>SUM(H40:H41)</f>
        <v>410000</v>
      </c>
      <c r="J42" t="s">
        <v>9</v>
      </c>
      <c r="P42" s="4">
        <f>SUM(P40:P41)</f>
        <v>95600</v>
      </c>
      <c r="R42">
        <v>18</v>
      </c>
      <c r="S42">
        <v>5000</v>
      </c>
      <c r="T42" s="2">
        <f t="shared" si="33"/>
        <v>90000</v>
      </c>
      <c r="V42">
        <v>60</v>
      </c>
      <c r="W42">
        <v>2500</v>
      </c>
      <c r="X42" s="2">
        <f t="shared" si="34"/>
        <v>150000</v>
      </c>
      <c r="Z42" s="20">
        <v>0.45</v>
      </c>
      <c r="AA42" s="23">
        <v>20000</v>
      </c>
      <c r="AB42" s="24">
        <f>Z42*AA42</f>
        <v>9000</v>
      </c>
      <c r="AD42" s="20"/>
      <c r="AE42" s="21"/>
      <c r="AF42" s="22"/>
      <c r="AH42" s="20"/>
      <c r="AI42" s="30">
        <v>2.9999999999999997E-4</v>
      </c>
      <c r="AJ42" s="29">
        <f>AJ39*0.03/100</f>
        <v>1756.7864999999999</v>
      </c>
      <c r="AL42" s="20"/>
      <c r="AM42" s="21"/>
      <c r="AN42" s="22"/>
      <c r="AP42" s="20"/>
      <c r="AQ42" s="21"/>
      <c r="AR42" s="25">
        <f>SUM(AR40:AR41)</f>
        <v>1600000</v>
      </c>
    </row>
    <row r="43" spans="2:44" ht="18.5" x14ac:dyDescent="0.45">
      <c r="B43">
        <v>15</v>
      </c>
      <c r="C43" s="5">
        <v>13500</v>
      </c>
      <c r="D43" s="2">
        <f t="shared" si="30"/>
        <v>202500</v>
      </c>
      <c r="J43">
        <v>60</v>
      </c>
      <c r="K43">
        <v>150</v>
      </c>
      <c r="L43" s="2">
        <f>J43*K43</f>
        <v>9000</v>
      </c>
      <c r="T43" s="4">
        <f>SUM(T34:T42)</f>
        <v>1030580</v>
      </c>
      <c r="V43">
        <v>6</v>
      </c>
      <c r="W43">
        <v>15000</v>
      </c>
      <c r="X43" s="2">
        <f t="shared" si="34"/>
        <v>90000</v>
      </c>
      <c r="Z43" s="20"/>
      <c r="AA43" s="21"/>
      <c r="AB43" s="25">
        <f>SUM(AB42)</f>
        <v>9000</v>
      </c>
      <c r="AD43" s="20" t="s">
        <v>5</v>
      </c>
      <c r="AE43" s="21"/>
      <c r="AF43" s="22"/>
      <c r="AH43" s="20"/>
      <c r="AI43" s="21" t="s">
        <v>14</v>
      </c>
      <c r="AJ43" s="38">
        <f>AJ41+AJ42</f>
        <v>6794664.5865000002</v>
      </c>
      <c r="AL43" s="20" t="s">
        <v>30</v>
      </c>
      <c r="AM43" s="21"/>
      <c r="AN43" s="22"/>
      <c r="AP43" s="20"/>
      <c r="AQ43" s="21"/>
      <c r="AR43" s="22"/>
    </row>
    <row r="44" spans="2:44" ht="15" thickBot="1" x14ac:dyDescent="0.4">
      <c r="B44">
        <v>76</v>
      </c>
      <c r="C44" s="5">
        <v>1200</v>
      </c>
      <c r="D44" s="2">
        <f t="shared" si="30"/>
        <v>91200</v>
      </c>
      <c r="F44" t="s">
        <v>8</v>
      </c>
      <c r="J44">
        <v>50</v>
      </c>
      <c r="K44">
        <v>145</v>
      </c>
      <c r="L44" s="2">
        <f>J44*K44</f>
        <v>7250</v>
      </c>
      <c r="N44" t="s">
        <v>10</v>
      </c>
      <c r="X44" s="4">
        <f>SUM(X35:X43)</f>
        <v>2895315</v>
      </c>
      <c r="Z44" s="20"/>
      <c r="AA44" s="21"/>
      <c r="AB44" s="22"/>
      <c r="AD44" s="20">
        <v>0.35</v>
      </c>
      <c r="AE44" s="23">
        <v>20000</v>
      </c>
      <c r="AF44" s="24">
        <f>AD44*AE44</f>
        <v>7000</v>
      </c>
      <c r="AH44" s="31"/>
      <c r="AI44" s="32"/>
      <c r="AJ44" s="39"/>
      <c r="AL44" s="20">
        <v>2470</v>
      </c>
      <c r="AM44" s="21">
        <v>1600</v>
      </c>
      <c r="AN44" s="24">
        <f>AL44*AM44</f>
        <v>3952000</v>
      </c>
      <c r="AP44" s="20" t="s">
        <v>29</v>
      </c>
      <c r="AQ44" s="21"/>
      <c r="AR44" s="22"/>
    </row>
    <row r="45" spans="2:44" x14ac:dyDescent="0.35">
      <c r="B45">
        <v>10</v>
      </c>
      <c r="C45" s="5">
        <v>3000</v>
      </c>
      <c r="D45" s="2">
        <f t="shared" si="30"/>
        <v>30000</v>
      </c>
      <c r="F45">
        <v>255</v>
      </c>
      <c r="G45">
        <v>1800</v>
      </c>
      <c r="H45" s="2">
        <f>F45*G45</f>
        <v>459000</v>
      </c>
      <c r="L45" s="4">
        <f>SUM(L43:L44)</f>
        <v>16250</v>
      </c>
      <c r="N45">
        <v>60</v>
      </c>
      <c r="O45" s="5">
        <v>30000</v>
      </c>
      <c r="P45" s="2">
        <f>N45*O45</f>
        <v>1800000</v>
      </c>
      <c r="R45" t="s">
        <v>8</v>
      </c>
      <c r="Z45" s="20" t="s">
        <v>8</v>
      </c>
      <c r="AA45" s="21"/>
      <c r="AB45" s="22"/>
      <c r="AD45" s="20"/>
      <c r="AE45" s="21"/>
      <c r="AF45" s="25">
        <f>SUM(AF44)</f>
        <v>7000</v>
      </c>
      <c r="AL45" s="20"/>
      <c r="AM45" s="21"/>
      <c r="AN45" s="25">
        <f>SUM(AN44)</f>
        <v>3952000</v>
      </c>
      <c r="AP45" s="20">
        <v>184</v>
      </c>
      <c r="AQ45" s="21">
        <v>500</v>
      </c>
      <c r="AR45" s="24">
        <f>AP45*AQ45</f>
        <v>92000</v>
      </c>
    </row>
    <row r="46" spans="2:44" x14ac:dyDescent="0.35">
      <c r="B46">
        <v>10</v>
      </c>
      <c r="C46" s="5">
        <v>4500</v>
      </c>
      <c r="D46" s="2">
        <f t="shared" si="30"/>
        <v>45000</v>
      </c>
      <c r="F46">
        <v>240</v>
      </c>
      <c r="G46">
        <v>1800</v>
      </c>
      <c r="H46" s="2">
        <f>F46*G46</f>
        <v>432000</v>
      </c>
      <c r="N46">
        <v>52</v>
      </c>
      <c r="O46" s="5">
        <v>30000</v>
      </c>
      <c r="P46" s="2">
        <f t="shared" ref="P46:P47" si="35">N46*O46</f>
        <v>1560000</v>
      </c>
      <c r="R46">
        <v>427.5</v>
      </c>
      <c r="S46">
        <v>1500</v>
      </c>
      <c r="T46" s="2">
        <f>R46*S46</f>
        <v>641250</v>
      </c>
      <c r="V46">
        <v>1</v>
      </c>
      <c r="W46" s="5">
        <v>500000</v>
      </c>
      <c r="X46" s="2">
        <f>V46*W46</f>
        <v>500000</v>
      </c>
      <c r="Z46" s="20">
        <v>654.75</v>
      </c>
      <c r="AA46" s="21">
        <v>1700</v>
      </c>
      <c r="AB46" s="24">
        <f>Z46*AA46</f>
        <v>1113075</v>
      </c>
      <c r="AD46" s="20"/>
      <c r="AE46" s="21"/>
      <c r="AF46" s="22"/>
      <c r="AL46" s="20"/>
      <c r="AM46" s="21"/>
      <c r="AN46" s="22"/>
      <c r="AP46" s="20"/>
      <c r="AQ46" s="21"/>
      <c r="AR46" s="25">
        <f>SUM(AR45)</f>
        <v>92000</v>
      </c>
    </row>
    <row r="47" spans="2:44" x14ac:dyDescent="0.35">
      <c r="D47" s="4">
        <f>SUM(D30:D46)</f>
        <v>4758670</v>
      </c>
      <c r="H47" s="4">
        <f>SUM(H45:H46)</f>
        <v>891000</v>
      </c>
      <c r="J47" t="s">
        <v>10</v>
      </c>
      <c r="N47">
        <v>55.8</v>
      </c>
      <c r="O47">
        <v>1000</v>
      </c>
      <c r="P47" s="2">
        <f t="shared" si="35"/>
        <v>55800</v>
      </c>
      <c r="R47">
        <v>405</v>
      </c>
      <c r="S47">
        <v>1500</v>
      </c>
      <c r="T47" s="2">
        <f>R47*S47</f>
        <v>607500</v>
      </c>
      <c r="X47" s="4">
        <f>SUM(X46)</f>
        <v>500000</v>
      </c>
      <c r="Z47" s="20">
        <v>438.75</v>
      </c>
      <c r="AA47" s="21">
        <v>2700</v>
      </c>
      <c r="AB47" s="24">
        <f>Z47*AA47</f>
        <v>1184625</v>
      </c>
      <c r="AD47" s="20" t="s">
        <v>8</v>
      </c>
      <c r="AE47" s="21"/>
      <c r="AF47" s="22"/>
      <c r="AL47" s="20" t="s">
        <v>12</v>
      </c>
      <c r="AM47" s="21"/>
      <c r="AN47" s="22"/>
      <c r="AP47" s="20"/>
      <c r="AQ47" s="21"/>
      <c r="AR47" s="22"/>
    </row>
    <row r="48" spans="2:44" x14ac:dyDescent="0.35">
      <c r="J48">
        <v>21</v>
      </c>
      <c r="K48" s="5">
        <v>35000</v>
      </c>
      <c r="L48" s="2">
        <f>J48*K48</f>
        <v>735000</v>
      </c>
      <c r="P48" s="4">
        <f>SUM(P45:P47)</f>
        <v>3415800</v>
      </c>
      <c r="T48" s="4">
        <f>SUM(T46:T47)</f>
        <v>1248750</v>
      </c>
      <c r="Z48" s="20"/>
      <c r="AA48" s="21"/>
      <c r="AB48" s="25">
        <f>SUM(AB46:AB47)</f>
        <v>2297700</v>
      </c>
      <c r="AD48" s="20">
        <v>498.75</v>
      </c>
      <c r="AE48" s="21">
        <v>1600</v>
      </c>
      <c r="AF48" s="24">
        <f>AD48*AE48</f>
        <v>798000</v>
      </c>
      <c r="AL48" s="20">
        <v>51</v>
      </c>
      <c r="AM48" s="21">
        <v>1000</v>
      </c>
      <c r="AN48" s="24">
        <f>AL48*AM48</f>
        <v>51000</v>
      </c>
      <c r="AP48" s="20" t="s">
        <v>30</v>
      </c>
      <c r="AQ48" s="21"/>
      <c r="AR48" s="22"/>
    </row>
    <row r="49" spans="2:44" x14ac:dyDescent="0.35">
      <c r="B49" t="s">
        <v>5</v>
      </c>
      <c r="F49" t="s">
        <v>17</v>
      </c>
      <c r="J49">
        <v>15</v>
      </c>
      <c r="K49">
        <v>1000</v>
      </c>
      <c r="L49" s="2">
        <f>J49*K49</f>
        <v>15000</v>
      </c>
      <c r="V49">
        <v>420</v>
      </c>
      <c r="W49">
        <v>1500</v>
      </c>
      <c r="X49" s="2">
        <f>V49*W49</f>
        <v>630000</v>
      </c>
      <c r="Z49" s="20"/>
      <c r="AA49" s="21"/>
      <c r="AB49" s="22"/>
      <c r="AD49" s="20">
        <v>330.75</v>
      </c>
      <c r="AE49" s="21">
        <v>2700</v>
      </c>
      <c r="AF49" s="24">
        <f>AD49*AE49</f>
        <v>893025</v>
      </c>
      <c r="AL49" s="20">
        <v>1</v>
      </c>
      <c r="AM49" s="23">
        <v>80000</v>
      </c>
      <c r="AN49" s="24">
        <f>AL49*AM49</f>
        <v>80000</v>
      </c>
      <c r="AP49" s="20">
        <v>1470</v>
      </c>
      <c r="AQ49" s="21">
        <v>2000</v>
      </c>
      <c r="AR49" s="24">
        <f>AP49*AQ49</f>
        <v>2940000</v>
      </c>
    </row>
    <row r="50" spans="2:44" x14ac:dyDescent="0.35">
      <c r="B50">
        <v>1</v>
      </c>
      <c r="C50" s="5">
        <v>100000</v>
      </c>
      <c r="D50" s="2">
        <f>B50*C50</f>
        <v>100000</v>
      </c>
      <c r="F50">
        <v>12.54</v>
      </c>
      <c r="G50" s="5">
        <v>20000</v>
      </c>
      <c r="H50" s="1">
        <f>F50*G50</f>
        <v>250799.99999999997</v>
      </c>
      <c r="L50" s="4">
        <f>SUM(L48:L49)</f>
        <v>750000</v>
      </c>
      <c r="N50" t="s">
        <v>11</v>
      </c>
      <c r="R50" t="s">
        <v>17</v>
      </c>
      <c r="V50">
        <v>315</v>
      </c>
      <c r="W50">
        <v>1500</v>
      </c>
      <c r="X50" s="2">
        <f>V50*W50</f>
        <v>472500</v>
      </c>
      <c r="Z50" s="20" t="s">
        <v>9</v>
      </c>
      <c r="AA50" s="21"/>
      <c r="AB50" s="22"/>
      <c r="AD50" s="20"/>
      <c r="AE50" s="21"/>
      <c r="AF50" s="25">
        <f>SUM(AF48:AF49)</f>
        <v>1691025</v>
      </c>
      <c r="AL50" s="20"/>
      <c r="AM50" s="21"/>
      <c r="AN50" s="25">
        <f>SUM(AN48:AN49)</f>
        <v>131000</v>
      </c>
      <c r="AP50" s="20"/>
      <c r="AQ50" s="21"/>
      <c r="AR50" s="55">
        <f>SUM(AR49)</f>
        <v>2940000</v>
      </c>
    </row>
    <row r="51" spans="2:44" x14ac:dyDescent="0.35">
      <c r="D51" s="4">
        <f>SUM(D50)</f>
        <v>100000</v>
      </c>
      <c r="F51">
        <v>240</v>
      </c>
      <c r="G51">
        <v>170</v>
      </c>
      <c r="H51" s="1">
        <f t="shared" ref="H51:H52" si="36">F51*G51</f>
        <v>40800</v>
      </c>
      <c r="N51">
        <v>200</v>
      </c>
      <c r="O51">
        <v>1700</v>
      </c>
      <c r="P51" s="2">
        <f>N51*O51</f>
        <v>340000</v>
      </c>
      <c r="R51">
        <v>21.16</v>
      </c>
      <c r="S51" s="5">
        <v>20000</v>
      </c>
      <c r="T51" s="2">
        <f>R51*S51</f>
        <v>423200</v>
      </c>
      <c r="X51" s="4">
        <f>SUM(X49:X50)</f>
        <v>1102500</v>
      </c>
      <c r="Z51" s="20">
        <v>3510</v>
      </c>
      <c r="AA51" s="21">
        <v>145</v>
      </c>
      <c r="AB51" s="24">
        <f>Z51*AA51</f>
        <v>508950</v>
      </c>
      <c r="AD51" s="20"/>
      <c r="AE51" s="21"/>
      <c r="AF51" s="22"/>
      <c r="AL51" s="20"/>
      <c r="AM51" s="21"/>
      <c r="AN51" s="22"/>
      <c r="AP51" s="20"/>
      <c r="AQ51" s="21"/>
      <c r="AR51" s="22"/>
    </row>
    <row r="52" spans="2:44" x14ac:dyDescent="0.35">
      <c r="B52" t="s">
        <v>7</v>
      </c>
      <c r="F52">
        <v>1600</v>
      </c>
      <c r="G52">
        <v>200</v>
      </c>
      <c r="H52" s="1">
        <f t="shared" si="36"/>
        <v>320000</v>
      </c>
      <c r="J52" t="s">
        <v>12</v>
      </c>
      <c r="N52">
        <v>400</v>
      </c>
      <c r="O52">
        <v>1700</v>
      </c>
      <c r="P52" s="2">
        <f t="shared" ref="P52:P57" si="37">N52*O52</f>
        <v>680000</v>
      </c>
      <c r="R52">
        <v>337.5</v>
      </c>
      <c r="S52" s="5">
        <v>100</v>
      </c>
      <c r="T52" s="2">
        <f t="shared" ref="T52:T53" si="38">R52*S52</f>
        <v>33750</v>
      </c>
      <c r="V52" t="s">
        <v>17</v>
      </c>
      <c r="Z52" s="20">
        <v>2925</v>
      </c>
      <c r="AA52" s="21">
        <v>135</v>
      </c>
      <c r="AB52" s="24">
        <f>Z52*AA52</f>
        <v>394875</v>
      </c>
      <c r="AD52" s="20" t="s">
        <v>9</v>
      </c>
      <c r="AE52" s="21"/>
      <c r="AF52" s="22"/>
      <c r="AL52" s="20"/>
      <c r="AM52" s="21" t="s">
        <v>22</v>
      </c>
      <c r="AN52" s="27">
        <f>AN50+AN45+AN41+AN36+AN31+AN22+AN18+AN13+AN9</f>
        <v>8122440</v>
      </c>
      <c r="AP52" s="20" t="s">
        <v>12</v>
      </c>
      <c r="AQ52" s="21"/>
      <c r="AR52" s="22"/>
    </row>
    <row r="53" spans="2:44" x14ac:dyDescent="0.35">
      <c r="B53" s="5">
        <v>55000</v>
      </c>
      <c r="C53">
        <v>20</v>
      </c>
      <c r="D53" s="2">
        <f>B53*C53</f>
        <v>1100000</v>
      </c>
      <c r="H53" s="12">
        <f>SUM(H50:H52)</f>
        <v>611600</v>
      </c>
      <c r="J53">
        <v>1</v>
      </c>
      <c r="K53" s="5">
        <v>80000</v>
      </c>
      <c r="L53" s="2">
        <f>J53*K53</f>
        <v>80000</v>
      </c>
      <c r="N53">
        <v>2</v>
      </c>
      <c r="O53" s="5">
        <v>32000</v>
      </c>
      <c r="P53" s="2">
        <f t="shared" si="37"/>
        <v>64000</v>
      </c>
      <c r="R53">
        <v>2400</v>
      </c>
      <c r="S53">
        <v>150</v>
      </c>
      <c r="T53" s="2">
        <f t="shared" si="38"/>
        <v>360000</v>
      </c>
      <c r="V53">
        <v>14.96</v>
      </c>
      <c r="W53" s="5">
        <v>30000</v>
      </c>
      <c r="X53" s="2">
        <f>V53*W53</f>
        <v>448800</v>
      </c>
      <c r="Z53" s="20"/>
      <c r="AA53" s="21"/>
      <c r="AB53" s="25">
        <f>SUM(AB51:AB52)</f>
        <v>903825</v>
      </c>
      <c r="AD53" s="20">
        <v>2646</v>
      </c>
      <c r="AE53" s="21">
        <v>135</v>
      </c>
      <c r="AF53" s="24">
        <f>AD53*AE53</f>
        <v>357210</v>
      </c>
      <c r="AL53" s="20"/>
      <c r="AM53" s="28">
        <v>0.16</v>
      </c>
      <c r="AN53" s="29">
        <f>AN52*0.16</f>
        <v>1299590.4000000001</v>
      </c>
      <c r="AP53" s="20">
        <v>62</v>
      </c>
      <c r="AQ53" s="21">
        <v>500</v>
      </c>
      <c r="AR53" s="24">
        <f>AP53*AQ53</f>
        <v>31000</v>
      </c>
    </row>
    <row r="54" spans="2:44" x14ac:dyDescent="0.35">
      <c r="B54">
        <v>200</v>
      </c>
      <c r="C54">
        <v>15</v>
      </c>
      <c r="D54" s="2">
        <f t="shared" ref="D54:D56" si="39">B54*C54</f>
        <v>3000</v>
      </c>
      <c r="L54" s="4">
        <f>SUM(L53)</f>
        <v>80000</v>
      </c>
      <c r="N54">
        <v>400</v>
      </c>
      <c r="O54">
        <v>1000</v>
      </c>
      <c r="P54" s="2">
        <f t="shared" si="37"/>
        <v>400000</v>
      </c>
      <c r="T54" s="4">
        <f>SUM(T51:T53)</f>
        <v>816950</v>
      </c>
      <c r="V54">
        <v>315</v>
      </c>
      <c r="W54" s="5">
        <v>400</v>
      </c>
      <c r="X54" s="2">
        <f t="shared" ref="X54:X55" si="40">V54*W54</f>
        <v>126000</v>
      </c>
      <c r="Z54" s="20"/>
      <c r="AA54" s="21"/>
      <c r="AB54" s="22"/>
      <c r="AD54" s="20">
        <v>2205</v>
      </c>
      <c r="AE54" s="21">
        <v>130</v>
      </c>
      <c r="AF54" s="24">
        <f>AD54*AE54</f>
        <v>286650</v>
      </c>
      <c r="AL54" s="20"/>
      <c r="AM54" s="30">
        <v>2.9999999999999997E-4</v>
      </c>
      <c r="AN54" s="29">
        <f>AN52*0.03/100</f>
        <v>2436.732</v>
      </c>
      <c r="AP54" s="20">
        <v>1</v>
      </c>
      <c r="AQ54" s="23">
        <v>80000</v>
      </c>
      <c r="AR54" s="24">
        <f>AP54*AQ54</f>
        <v>80000</v>
      </c>
    </row>
    <row r="55" spans="2:44" ht="18.5" x14ac:dyDescent="0.45">
      <c r="B55">
        <v>2000</v>
      </c>
      <c r="C55">
        <v>10</v>
      </c>
      <c r="D55" s="2">
        <f t="shared" si="39"/>
        <v>20000</v>
      </c>
      <c r="F55" t="s">
        <v>9</v>
      </c>
      <c r="N55">
        <v>400</v>
      </c>
      <c r="O55">
        <v>1000</v>
      </c>
      <c r="P55" s="2">
        <f t="shared" si="37"/>
        <v>400000</v>
      </c>
      <c r="V55">
        <v>2400</v>
      </c>
      <c r="W55">
        <v>150</v>
      </c>
      <c r="X55" s="2">
        <f t="shared" si="40"/>
        <v>360000</v>
      </c>
      <c r="Z55" s="20" t="s">
        <v>10</v>
      </c>
      <c r="AA55" s="21"/>
      <c r="AB55" s="22"/>
      <c r="AD55" s="20"/>
      <c r="AE55" s="21"/>
      <c r="AF55" s="25">
        <f>SUM(AF53:AF54)</f>
        <v>643860</v>
      </c>
      <c r="AL55" s="20"/>
      <c r="AM55" s="21" t="s">
        <v>14</v>
      </c>
      <c r="AN55" s="38">
        <f>AN52+AN53+AN54</f>
        <v>9424467.1320000011</v>
      </c>
      <c r="AP55" s="20"/>
      <c r="AQ55" s="21"/>
      <c r="AR55" s="25">
        <f>SUM(AR53:AR54)</f>
        <v>111000</v>
      </c>
    </row>
    <row r="56" spans="2:44" ht="15" thickBot="1" x14ac:dyDescent="0.4">
      <c r="B56">
        <v>2000</v>
      </c>
      <c r="C56">
        <v>100</v>
      </c>
      <c r="D56" s="2">
        <f t="shared" si="39"/>
        <v>200000</v>
      </c>
      <c r="F56">
        <v>1680</v>
      </c>
      <c r="G56">
        <v>140</v>
      </c>
      <c r="H56" s="2">
        <f>F56*G56</f>
        <v>235200</v>
      </c>
      <c r="J56" t="s">
        <v>22</v>
      </c>
      <c r="L56" s="6">
        <f>L54+L50+L45+L40+L36+L30+L19+L15+L9</f>
        <v>6408050</v>
      </c>
      <c r="N56">
        <v>2</v>
      </c>
      <c r="O56" s="5">
        <v>18000</v>
      </c>
      <c r="P56" s="2">
        <f t="shared" si="37"/>
        <v>36000</v>
      </c>
      <c r="R56" t="s">
        <v>9</v>
      </c>
      <c r="X56" s="4">
        <f>SUM(X53:X55)</f>
        <v>934800</v>
      </c>
      <c r="Z56" s="20">
        <v>146.25</v>
      </c>
      <c r="AA56" s="23">
        <v>30000</v>
      </c>
      <c r="AB56" s="24">
        <f>Z56*AA56</f>
        <v>4387500</v>
      </c>
      <c r="AD56" s="20"/>
      <c r="AE56" s="21"/>
      <c r="AF56" s="22"/>
      <c r="AL56" s="31"/>
      <c r="AM56" s="32"/>
      <c r="AN56" s="39"/>
      <c r="AP56" s="20"/>
      <c r="AQ56" s="21"/>
      <c r="AR56" s="22"/>
    </row>
    <row r="57" spans="2:44" x14ac:dyDescent="0.35">
      <c r="D57" s="4">
        <f>SUM(D53:D56)</f>
        <v>1323000</v>
      </c>
      <c r="F57">
        <v>1400</v>
      </c>
      <c r="G57">
        <v>135</v>
      </c>
      <c r="H57" s="2">
        <f>F57*G57</f>
        <v>189000</v>
      </c>
      <c r="J57" s="9">
        <v>0.16</v>
      </c>
      <c r="L57" s="10">
        <f>L56*0.16</f>
        <v>1025288</v>
      </c>
      <c r="N57">
        <v>2</v>
      </c>
      <c r="O57" s="5">
        <v>18000</v>
      </c>
      <c r="P57" s="2">
        <f t="shared" si="37"/>
        <v>36000</v>
      </c>
      <c r="R57">
        <v>2520</v>
      </c>
      <c r="S57">
        <v>135</v>
      </c>
      <c r="T57" s="2">
        <f>R57*S57</f>
        <v>340200</v>
      </c>
      <c r="Z57" s="20"/>
      <c r="AA57" s="21"/>
      <c r="AB57" s="25">
        <f>SUM(AB56)</f>
        <v>4387500</v>
      </c>
      <c r="AD57" s="20" t="s">
        <v>10</v>
      </c>
      <c r="AE57" s="21"/>
      <c r="AF57" s="22"/>
      <c r="AP57" s="20"/>
      <c r="AQ57" s="21" t="s">
        <v>22</v>
      </c>
      <c r="AR57" s="56">
        <f>AR55+AR50+AR46+AR42+AR37+AR32+AR24+AR20+AR13+AR9</f>
        <v>7246890</v>
      </c>
    </row>
    <row r="58" spans="2:44" x14ac:dyDescent="0.35">
      <c r="H58" s="4">
        <f>SUM(H56:H57)</f>
        <v>424200</v>
      </c>
      <c r="J58" t="s">
        <v>19</v>
      </c>
      <c r="L58" s="10">
        <f>L56+L57</f>
        <v>7433338</v>
      </c>
      <c r="P58" s="4">
        <f>SUM(P51:P57)</f>
        <v>1956000</v>
      </c>
      <c r="R58">
        <v>2100</v>
      </c>
      <c r="S58">
        <v>130</v>
      </c>
      <c r="T58" s="2">
        <f>R58*S58</f>
        <v>273000</v>
      </c>
      <c r="V58" t="s">
        <v>9</v>
      </c>
      <c r="Z58" s="20"/>
      <c r="AA58" s="21"/>
      <c r="AB58" s="22"/>
      <c r="AD58" s="20">
        <v>110.25</v>
      </c>
      <c r="AE58" s="23">
        <v>30000</v>
      </c>
      <c r="AF58" s="24">
        <f>AD58*AE58</f>
        <v>3307500</v>
      </c>
      <c r="AP58" s="20"/>
      <c r="AQ58" s="28">
        <v>0.16</v>
      </c>
      <c r="AR58" s="29">
        <f>AR57*0.16</f>
        <v>1159502.4000000001</v>
      </c>
    </row>
    <row r="59" spans="2:44" x14ac:dyDescent="0.35">
      <c r="B59" t="s">
        <v>6</v>
      </c>
      <c r="J59" s="8">
        <v>2.9999999999999997E-4</v>
      </c>
      <c r="L59" s="10">
        <f>L56*0.03/100</f>
        <v>1922.415</v>
      </c>
      <c r="T59" s="4">
        <f>SUM(T57:T58)</f>
        <v>613200</v>
      </c>
      <c r="V59">
        <v>2880</v>
      </c>
      <c r="W59">
        <v>150</v>
      </c>
      <c r="X59" s="2">
        <f>V59*W59</f>
        <v>432000</v>
      </c>
      <c r="Z59" s="20" t="s">
        <v>11</v>
      </c>
      <c r="AA59" s="21"/>
      <c r="AB59" s="22"/>
      <c r="AD59" s="20"/>
      <c r="AE59" s="21"/>
      <c r="AF59" s="25">
        <f>SUM(AF58)</f>
        <v>3307500</v>
      </c>
      <c r="AP59" s="20"/>
      <c r="AQ59" s="30">
        <v>2.9999999999999997E-4</v>
      </c>
      <c r="AR59" s="29">
        <f>AR57*0.03/100</f>
        <v>2174.067</v>
      </c>
    </row>
    <row r="60" spans="2:44" ht="18.5" x14ac:dyDescent="0.45">
      <c r="B60">
        <v>10</v>
      </c>
      <c r="C60">
        <v>230</v>
      </c>
      <c r="D60" s="2">
        <f>B60*C60</f>
        <v>2300</v>
      </c>
      <c r="F60" t="s">
        <v>10</v>
      </c>
      <c r="J60" s="14" t="s">
        <v>14</v>
      </c>
      <c r="L60" s="16">
        <f>L58+L59</f>
        <v>7435260.415</v>
      </c>
      <c r="N60" t="s">
        <v>12</v>
      </c>
      <c r="V60">
        <v>2400</v>
      </c>
      <c r="W60">
        <v>150</v>
      </c>
      <c r="X60" s="2">
        <f>V60*W60</f>
        <v>360000</v>
      </c>
      <c r="Z60" s="20">
        <v>5.85</v>
      </c>
      <c r="AA60" s="23">
        <v>35000</v>
      </c>
      <c r="AB60" s="24">
        <f>Z60*AA60</f>
        <v>204750</v>
      </c>
      <c r="AD60" s="20"/>
      <c r="AE60" s="21"/>
      <c r="AF60" s="22"/>
      <c r="AP60" s="20"/>
      <c r="AQ60" s="21" t="s">
        <v>14</v>
      </c>
      <c r="AR60" s="57">
        <f>AR57+AR58+AR59</f>
        <v>8408566.4670000002</v>
      </c>
    </row>
    <row r="61" spans="2:44" ht="15" thickBot="1" x14ac:dyDescent="0.4">
      <c r="B61">
        <v>25</v>
      </c>
      <c r="C61">
        <v>2000</v>
      </c>
      <c r="D61" s="2">
        <f>B61*C61</f>
        <v>50000</v>
      </c>
      <c r="F61">
        <v>70</v>
      </c>
      <c r="G61" s="5">
        <v>30000</v>
      </c>
      <c r="H61" s="2">
        <f>F61*G61</f>
        <v>2100000</v>
      </c>
      <c r="N61">
        <v>1</v>
      </c>
      <c r="O61" s="5">
        <v>80000</v>
      </c>
      <c r="P61" s="2">
        <f>N61*O61</f>
        <v>80000</v>
      </c>
      <c r="R61" t="s">
        <v>10</v>
      </c>
      <c r="X61" s="4">
        <f>SUM(X59:X60)</f>
        <v>792000</v>
      </c>
      <c r="Z61" s="20">
        <v>900</v>
      </c>
      <c r="AA61" s="21">
        <v>1000</v>
      </c>
      <c r="AB61" s="24">
        <f t="shared" ref="AB61:AB66" si="41">Z61*AA61</f>
        <v>900000</v>
      </c>
      <c r="AD61" s="20" t="s">
        <v>11</v>
      </c>
      <c r="AE61" s="21"/>
      <c r="AF61" s="22"/>
      <c r="AP61" s="31"/>
      <c r="AQ61" s="32"/>
      <c r="AR61" s="39"/>
    </row>
    <row r="62" spans="2:44" x14ac:dyDescent="0.35">
      <c r="D62" s="4">
        <f>SUM(D60:D61)</f>
        <v>52300</v>
      </c>
      <c r="H62" s="4">
        <f>SUM(H61)</f>
        <v>2100000</v>
      </c>
      <c r="P62" s="4">
        <f>SUM(P61)</f>
        <v>80000</v>
      </c>
      <c r="R62">
        <v>105</v>
      </c>
      <c r="S62" s="5">
        <v>28000</v>
      </c>
      <c r="T62" s="2">
        <f>R62*S62</f>
        <v>2940000</v>
      </c>
      <c r="Z62" s="20">
        <v>450</v>
      </c>
      <c r="AA62" s="21">
        <v>1000</v>
      </c>
      <c r="AB62" s="24">
        <f t="shared" si="41"/>
        <v>450000</v>
      </c>
      <c r="AD62" s="20">
        <v>3.78</v>
      </c>
      <c r="AE62" s="23">
        <v>30000</v>
      </c>
      <c r="AF62" s="24">
        <f>AD62*AE62</f>
        <v>113400</v>
      </c>
    </row>
    <row r="63" spans="2:44" x14ac:dyDescent="0.35">
      <c r="T63" s="4">
        <f>SUM(T62)</f>
        <v>2940000</v>
      </c>
      <c r="V63" t="s">
        <v>10</v>
      </c>
      <c r="Z63" s="20">
        <v>6</v>
      </c>
      <c r="AA63" s="23">
        <v>20000</v>
      </c>
      <c r="AB63" s="24">
        <f t="shared" si="41"/>
        <v>120000</v>
      </c>
      <c r="AD63" s="20">
        <v>709</v>
      </c>
      <c r="AE63" s="21">
        <v>1000</v>
      </c>
      <c r="AF63" s="24">
        <f t="shared" ref="AF63:AF68" si="42">AD63*AE63</f>
        <v>709000</v>
      </c>
    </row>
    <row r="64" spans="2:44" x14ac:dyDescent="0.35">
      <c r="B64" t="s">
        <v>8</v>
      </c>
      <c r="F64" t="s">
        <v>11</v>
      </c>
      <c r="K64" t="s">
        <v>23</v>
      </c>
      <c r="L64" s="5">
        <v>7252053</v>
      </c>
      <c r="V64">
        <v>105.75</v>
      </c>
      <c r="W64" s="5">
        <v>30000</v>
      </c>
      <c r="X64" s="2">
        <f>V64*W64</f>
        <v>3172500</v>
      </c>
      <c r="Z64" s="20">
        <v>38.25</v>
      </c>
      <c r="AA64" s="21">
        <v>1700</v>
      </c>
      <c r="AB64" s="24">
        <f t="shared" si="41"/>
        <v>65025</v>
      </c>
      <c r="AD64" s="20">
        <v>350</v>
      </c>
      <c r="AE64" s="21">
        <v>1000</v>
      </c>
      <c r="AF64" s="24">
        <f t="shared" si="42"/>
        <v>350000</v>
      </c>
    </row>
    <row r="65" spans="2:32" x14ac:dyDescent="0.35">
      <c r="B65">
        <v>39</v>
      </c>
      <c r="C65">
        <v>2700</v>
      </c>
      <c r="D65" s="2">
        <f>B65*C65</f>
        <v>105300</v>
      </c>
      <c r="F65">
        <v>4</v>
      </c>
      <c r="G65" s="5">
        <v>30000</v>
      </c>
      <c r="H65" s="2">
        <f>F65*G65</f>
        <v>120000</v>
      </c>
      <c r="O65" t="s">
        <v>22</v>
      </c>
      <c r="P65" s="6">
        <f>P62+P58+P48+P42+P37+P33+P23+P19+P15+P11</f>
        <v>10105062</v>
      </c>
      <c r="R65" t="s">
        <v>11</v>
      </c>
      <c r="X65" s="4">
        <f>SUM(X64)</f>
        <v>3172500</v>
      </c>
      <c r="Z65" s="20">
        <v>126</v>
      </c>
      <c r="AA65" s="21">
        <v>1700</v>
      </c>
      <c r="AB65" s="24">
        <f t="shared" si="41"/>
        <v>214200</v>
      </c>
      <c r="AD65" s="20">
        <v>4</v>
      </c>
      <c r="AE65" s="21">
        <v>1700</v>
      </c>
      <c r="AF65" s="24">
        <f t="shared" si="42"/>
        <v>6800</v>
      </c>
    </row>
    <row r="66" spans="2:32" x14ac:dyDescent="0.35">
      <c r="B66">
        <v>7560</v>
      </c>
      <c r="C66">
        <v>1700</v>
      </c>
      <c r="D66" s="2">
        <f>B66*C66</f>
        <v>12852000</v>
      </c>
      <c r="F66">
        <v>50</v>
      </c>
      <c r="G66">
        <v>1800</v>
      </c>
      <c r="H66" s="2">
        <f t="shared" ref="H66:H70" si="43">F66*G66</f>
        <v>90000</v>
      </c>
      <c r="O66" s="9">
        <v>0.16</v>
      </c>
      <c r="P66" s="10">
        <f>P65*0.16</f>
        <v>1616809.92</v>
      </c>
      <c r="R66">
        <v>4</v>
      </c>
      <c r="S66" s="5">
        <v>30000</v>
      </c>
      <c r="T66" s="2">
        <f>R66*S66</f>
        <v>120000</v>
      </c>
      <c r="Z66" s="20">
        <v>69</v>
      </c>
      <c r="AA66" s="21">
        <v>1000</v>
      </c>
      <c r="AB66" s="24">
        <f t="shared" si="41"/>
        <v>69000</v>
      </c>
      <c r="AD66" s="20">
        <v>29.75</v>
      </c>
      <c r="AE66" s="21">
        <v>1700</v>
      </c>
      <c r="AF66" s="24">
        <f t="shared" si="42"/>
        <v>50575</v>
      </c>
    </row>
    <row r="67" spans="2:32" x14ac:dyDescent="0.35">
      <c r="D67" s="7">
        <f>SUM(D65:D66)</f>
        <v>12957300</v>
      </c>
      <c r="F67">
        <v>100</v>
      </c>
      <c r="G67">
        <v>1800</v>
      </c>
      <c r="H67" s="2">
        <f t="shared" si="43"/>
        <v>180000</v>
      </c>
      <c r="O67" t="s">
        <v>19</v>
      </c>
      <c r="P67">
        <f>P65+P66</f>
        <v>11721871.92</v>
      </c>
      <c r="R67">
        <v>100</v>
      </c>
      <c r="S67">
        <v>1700</v>
      </c>
      <c r="T67" s="2">
        <f t="shared" ref="T67:T71" si="44">R67*S67</f>
        <v>170000</v>
      </c>
      <c r="V67">
        <v>2</v>
      </c>
      <c r="W67" s="5">
        <v>37000</v>
      </c>
      <c r="X67" s="2">
        <f>V67*W67</f>
        <v>74000</v>
      </c>
      <c r="Z67" s="20"/>
      <c r="AA67" s="21"/>
      <c r="AB67" s="25">
        <f>SUM(AB60:AB66)</f>
        <v>2022975</v>
      </c>
      <c r="AD67" s="20">
        <v>106</v>
      </c>
      <c r="AE67" s="21">
        <v>1700</v>
      </c>
      <c r="AF67" s="24">
        <f t="shared" si="42"/>
        <v>180200</v>
      </c>
    </row>
    <row r="68" spans="2:32" x14ac:dyDescent="0.35">
      <c r="F68">
        <v>30</v>
      </c>
      <c r="G68">
        <v>1800</v>
      </c>
      <c r="H68" s="2">
        <f t="shared" si="43"/>
        <v>54000</v>
      </c>
      <c r="O68" s="8">
        <v>2.9999999999999997E-4</v>
      </c>
      <c r="P68" s="10">
        <f>P65*0.03/100</f>
        <v>3031.5185999999999</v>
      </c>
      <c r="R68">
        <v>200</v>
      </c>
      <c r="S68">
        <v>1700</v>
      </c>
      <c r="T68" s="2">
        <f t="shared" si="44"/>
        <v>340000</v>
      </c>
      <c r="V68">
        <v>600</v>
      </c>
      <c r="W68">
        <v>1500</v>
      </c>
      <c r="X68" s="2">
        <f t="shared" ref="X68:X74" si="45">V68*W68</f>
        <v>900000</v>
      </c>
      <c r="Z68" s="20"/>
      <c r="AA68" s="21"/>
      <c r="AB68" s="22"/>
      <c r="AD68" s="20">
        <v>54</v>
      </c>
      <c r="AE68" s="21">
        <v>1000</v>
      </c>
      <c r="AF68" s="24">
        <f t="shared" si="42"/>
        <v>54000</v>
      </c>
    </row>
    <row r="69" spans="2:32" ht="18.5" x14ac:dyDescent="0.45">
      <c r="B69" t="s">
        <v>9</v>
      </c>
      <c r="F69">
        <v>2</v>
      </c>
      <c r="G69" s="5">
        <v>20000</v>
      </c>
      <c r="H69" s="2">
        <f t="shared" si="43"/>
        <v>40000</v>
      </c>
      <c r="O69" s="14" t="s">
        <v>14</v>
      </c>
      <c r="P69" s="17">
        <f>P67+P68</f>
        <v>11724903.4386</v>
      </c>
      <c r="R69">
        <v>20</v>
      </c>
      <c r="S69">
        <v>1700</v>
      </c>
      <c r="T69" s="2">
        <f t="shared" si="44"/>
        <v>34000</v>
      </c>
      <c r="V69">
        <v>30</v>
      </c>
      <c r="W69">
        <v>1700</v>
      </c>
      <c r="X69" s="2">
        <f t="shared" si="45"/>
        <v>51000</v>
      </c>
      <c r="Z69" s="20" t="s">
        <v>29</v>
      </c>
      <c r="AA69" s="21"/>
      <c r="AB69" s="22"/>
      <c r="AD69" s="20"/>
      <c r="AE69" s="21"/>
      <c r="AF69" s="25">
        <f>SUM(AF62:AF68)</f>
        <v>1463975</v>
      </c>
    </row>
    <row r="70" spans="2:32" x14ac:dyDescent="0.35">
      <c r="B70">
        <v>250</v>
      </c>
      <c r="C70">
        <v>140</v>
      </c>
      <c r="D70" s="2">
        <f>B70*C70</f>
        <v>35000</v>
      </c>
      <c r="F70">
        <v>2</v>
      </c>
      <c r="G70" s="5">
        <v>20000</v>
      </c>
      <c r="H70" s="2">
        <f t="shared" si="43"/>
        <v>40000</v>
      </c>
      <c r="R70">
        <v>2</v>
      </c>
      <c r="S70" s="5">
        <v>15000</v>
      </c>
      <c r="T70" s="2">
        <f t="shared" si="44"/>
        <v>30000</v>
      </c>
      <c r="V70">
        <v>60</v>
      </c>
      <c r="W70">
        <v>1700</v>
      </c>
      <c r="X70" s="2">
        <f t="shared" si="45"/>
        <v>102000</v>
      </c>
      <c r="Z70" s="20">
        <v>100</v>
      </c>
      <c r="AA70" s="21">
        <v>500</v>
      </c>
      <c r="AB70" s="24">
        <f>Z70*AA70</f>
        <v>50000</v>
      </c>
      <c r="AD70" s="20"/>
      <c r="AE70" s="21"/>
      <c r="AF70" s="22"/>
    </row>
    <row r="71" spans="2:32" x14ac:dyDescent="0.35">
      <c r="B71">
        <v>300</v>
      </c>
      <c r="C71">
        <v>135</v>
      </c>
      <c r="D71" s="2">
        <f>B71*C71</f>
        <v>40500</v>
      </c>
      <c r="H71" s="4">
        <f>SUM(H65:H70)</f>
        <v>524000</v>
      </c>
      <c r="R71">
        <v>2</v>
      </c>
      <c r="S71" s="5">
        <v>15000</v>
      </c>
      <c r="T71" s="2">
        <f t="shared" si="44"/>
        <v>30000</v>
      </c>
      <c r="V71">
        <v>20</v>
      </c>
      <c r="W71">
        <v>1700</v>
      </c>
      <c r="X71" s="2">
        <f t="shared" si="45"/>
        <v>34000</v>
      </c>
      <c r="Z71" s="20">
        <v>65.474999999999994</v>
      </c>
      <c r="AA71" s="21">
        <v>2000</v>
      </c>
      <c r="AB71" s="24">
        <f>Z71*AA71</f>
        <v>130949.99999999999</v>
      </c>
      <c r="AD71" s="20" t="s">
        <v>29</v>
      </c>
      <c r="AE71" s="21"/>
      <c r="AF71" s="22"/>
    </row>
    <row r="72" spans="2:32" x14ac:dyDescent="0.35">
      <c r="D72" s="4">
        <f>SUM(D70:D71)</f>
        <v>75500</v>
      </c>
      <c r="T72" s="4">
        <f>SUM(T66:T71)</f>
        <v>724000</v>
      </c>
      <c r="V72">
        <v>300</v>
      </c>
      <c r="W72">
        <v>1300</v>
      </c>
      <c r="X72" s="2">
        <f t="shared" si="45"/>
        <v>390000</v>
      </c>
      <c r="Z72" s="20"/>
      <c r="AA72" s="21"/>
      <c r="AB72" s="25">
        <f>SUM(AB70:AB71)</f>
        <v>180950</v>
      </c>
      <c r="AD72" s="20">
        <v>50</v>
      </c>
      <c r="AE72" s="21">
        <v>500</v>
      </c>
      <c r="AF72" s="24">
        <f>AD72*AE72</f>
        <v>25000</v>
      </c>
    </row>
    <row r="73" spans="2:32" x14ac:dyDescent="0.35">
      <c r="F73" t="s">
        <v>12</v>
      </c>
      <c r="V73">
        <v>4</v>
      </c>
      <c r="W73">
        <v>17000</v>
      </c>
      <c r="X73" s="2">
        <f t="shared" si="45"/>
        <v>68000</v>
      </c>
      <c r="Z73" s="20"/>
      <c r="AA73" s="21"/>
      <c r="AB73" s="22"/>
      <c r="AD73" s="20">
        <v>49.875</v>
      </c>
      <c r="AE73" s="21">
        <v>2000</v>
      </c>
      <c r="AF73" s="24">
        <f>AD73*AE73</f>
        <v>99750</v>
      </c>
    </row>
    <row r="74" spans="2:32" x14ac:dyDescent="0.35">
      <c r="B74" t="s">
        <v>10</v>
      </c>
      <c r="F74">
        <v>1</v>
      </c>
      <c r="G74" s="5">
        <v>100000</v>
      </c>
      <c r="H74" s="2">
        <f>F74*G74</f>
        <v>100000</v>
      </c>
      <c r="R74">
        <v>1</v>
      </c>
      <c r="S74" s="5">
        <v>80000</v>
      </c>
      <c r="T74" s="2">
        <f>R74*S74</f>
        <v>80000</v>
      </c>
      <c r="V74">
        <v>2</v>
      </c>
      <c r="W74" s="5">
        <v>60000</v>
      </c>
      <c r="X74" s="2">
        <f t="shared" si="45"/>
        <v>120000</v>
      </c>
      <c r="Z74" s="20" t="s">
        <v>30</v>
      </c>
      <c r="AA74" s="21"/>
      <c r="AB74" s="22"/>
      <c r="AD74" s="20"/>
      <c r="AE74" s="21"/>
      <c r="AF74" s="25">
        <f>SUM(AF72:AF73)</f>
        <v>124750</v>
      </c>
    </row>
    <row r="75" spans="2:32" x14ac:dyDescent="0.35">
      <c r="B75">
        <v>23</v>
      </c>
      <c r="C75" s="5">
        <v>35000</v>
      </c>
      <c r="D75" s="2">
        <f>B75*C75</f>
        <v>805000</v>
      </c>
      <c r="H75" s="4">
        <f>SUM(H74)</f>
        <v>100000</v>
      </c>
      <c r="T75" s="4">
        <f>SUM(T74)</f>
        <v>80000</v>
      </c>
      <c r="X75" s="4">
        <f>SUM(X67:X74)</f>
        <v>1739000</v>
      </c>
      <c r="Z75" s="20">
        <v>675</v>
      </c>
      <c r="AA75" s="21">
        <v>2700</v>
      </c>
      <c r="AB75" s="24">
        <f>Z75*AA75</f>
        <v>1822500</v>
      </c>
      <c r="AD75" s="20"/>
      <c r="AE75" s="21"/>
      <c r="AF75" s="22"/>
    </row>
    <row r="76" spans="2:32" x14ac:dyDescent="0.35">
      <c r="D76" s="4">
        <f>SUM(D75)</f>
        <v>805000</v>
      </c>
      <c r="Z76" s="20"/>
      <c r="AA76" s="21"/>
      <c r="AB76" s="25">
        <f>SUM(AB75)</f>
        <v>1822500</v>
      </c>
      <c r="AD76" s="20" t="s">
        <v>30</v>
      </c>
      <c r="AE76" s="21"/>
      <c r="AF76" s="22"/>
    </row>
    <row r="77" spans="2:32" x14ac:dyDescent="0.35">
      <c r="G77" t="s">
        <v>18</v>
      </c>
      <c r="H77" s="13">
        <f>H75+H71+H62+H58+H53+H47+H42+H37+H26+H22+H15+H9</f>
        <v>9037400</v>
      </c>
      <c r="S77" t="s">
        <v>22</v>
      </c>
      <c r="T77" s="6">
        <f>T75+T72+T63+T59+T54+T48+T43+T31+T27+T20+T14</f>
        <v>13418080</v>
      </c>
      <c r="V77">
        <v>1</v>
      </c>
      <c r="W77" s="5">
        <v>80000</v>
      </c>
      <c r="X77" s="2">
        <f>V77*W77</f>
        <v>80000</v>
      </c>
      <c r="Z77" s="20"/>
      <c r="AA77" s="21"/>
      <c r="AB77" s="22"/>
      <c r="AD77" s="20">
        <v>525</v>
      </c>
      <c r="AE77" s="21">
        <v>2300</v>
      </c>
      <c r="AF77" s="24">
        <f>AD77*AE77</f>
        <v>1207500</v>
      </c>
    </row>
    <row r="78" spans="2:32" x14ac:dyDescent="0.35">
      <c r="B78" t="s">
        <v>11</v>
      </c>
      <c r="G78" s="9">
        <v>0.16</v>
      </c>
      <c r="H78" s="10">
        <f>H77*0.16</f>
        <v>1445984</v>
      </c>
      <c r="S78" s="9">
        <v>0.16</v>
      </c>
      <c r="T78" s="10">
        <f>T77*0.16</f>
        <v>2146892.7999999998</v>
      </c>
      <c r="X78" s="4">
        <f>SUM(X77)</f>
        <v>80000</v>
      </c>
      <c r="Z78" s="20" t="s">
        <v>12</v>
      </c>
      <c r="AA78" s="21"/>
      <c r="AB78" s="22"/>
      <c r="AD78" s="20"/>
      <c r="AE78" s="21"/>
      <c r="AF78" s="25">
        <f>SUM(AF77)</f>
        <v>1207500</v>
      </c>
    </row>
    <row r="79" spans="2:32" x14ac:dyDescent="0.35">
      <c r="B79">
        <v>10</v>
      </c>
      <c r="C79">
        <v>1300</v>
      </c>
      <c r="D79" s="2">
        <f>B79*C79</f>
        <v>13000</v>
      </c>
      <c r="G79" t="s">
        <v>19</v>
      </c>
      <c r="H79" s="10">
        <f>H77+H78</f>
        <v>10483384</v>
      </c>
      <c r="S79" t="s">
        <v>19</v>
      </c>
      <c r="T79" s="10">
        <f>T77+T78</f>
        <v>15564972.800000001</v>
      </c>
      <c r="Z79" s="26">
        <v>20000</v>
      </c>
      <c r="AA79" s="21">
        <v>1</v>
      </c>
      <c r="AB79" s="24">
        <f>Z79*AA79</f>
        <v>20000</v>
      </c>
      <c r="AD79" s="20"/>
      <c r="AE79" s="21"/>
      <c r="AF79" s="22"/>
    </row>
    <row r="80" spans="2:32" x14ac:dyDescent="0.35">
      <c r="B80">
        <v>10</v>
      </c>
      <c r="C80">
        <v>1300</v>
      </c>
      <c r="D80" s="2">
        <f t="shared" ref="D80:D85" si="46">B80*C80</f>
        <v>13000</v>
      </c>
      <c r="G80" s="8">
        <v>2.9999999999999997E-4</v>
      </c>
      <c r="H80" s="10">
        <f>H77*0.03/100</f>
        <v>2711.22</v>
      </c>
      <c r="S80" s="8">
        <v>2.9999999999999997E-4</v>
      </c>
      <c r="T80" s="10">
        <f>T77*0.03/100</f>
        <v>4025.4239999999995</v>
      </c>
      <c r="Z80" s="26">
        <v>20000</v>
      </c>
      <c r="AA80" s="21">
        <v>0.25</v>
      </c>
      <c r="AB80" s="24">
        <f t="shared" ref="AB80:AB83" si="47">Z80*AA80</f>
        <v>5000</v>
      </c>
      <c r="AD80" s="20"/>
      <c r="AE80" s="21"/>
      <c r="AF80" s="22"/>
    </row>
    <row r="81" spans="2:32" ht="18.5" x14ac:dyDescent="0.45">
      <c r="B81">
        <v>2</v>
      </c>
      <c r="C81" s="5">
        <v>20000</v>
      </c>
      <c r="D81" s="2">
        <f t="shared" si="46"/>
        <v>40000</v>
      </c>
      <c r="G81" s="14" t="s">
        <v>20</v>
      </c>
      <c r="H81" s="15">
        <f>H79+H80</f>
        <v>10486095.220000001</v>
      </c>
      <c r="S81" s="19" t="s">
        <v>14</v>
      </c>
      <c r="T81" s="18">
        <f>T79+T80</f>
        <v>15568998.224000001</v>
      </c>
      <c r="W81" t="s">
        <v>22</v>
      </c>
      <c r="X81" s="6">
        <f>X78+X75+X65+X61+X56+X51+X47+X44+X32+X28+X21+X16</f>
        <v>17678325</v>
      </c>
      <c r="Z81" s="26">
        <v>30000</v>
      </c>
      <c r="AA81" s="21">
        <v>1</v>
      </c>
      <c r="AB81" s="24">
        <f t="shared" si="47"/>
        <v>30000</v>
      </c>
      <c r="AD81" s="20"/>
      <c r="AE81" s="21" t="s">
        <v>22</v>
      </c>
      <c r="AF81" s="27">
        <f>AF78+AF74+AF69+AF59+AF55+AF50+AF45+AF41+AF27+AF19+AF11</f>
        <v>14510221.050000001</v>
      </c>
    </row>
    <row r="82" spans="2:32" x14ac:dyDescent="0.35">
      <c r="B82">
        <v>2</v>
      </c>
      <c r="C82">
        <v>18500</v>
      </c>
      <c r="D82" s="2">
        <f t="shared" si="46"/>
        <v>37000</v>
      </c>
      <c r="W82" s="9">
        <v>0.16</v>
      </c>
      <c r="X82" s="10">
        <f>X81*0.16</f>
        <v>2828532</v>
      </c>
      <c r="Z82" s="26">
        <v>30000</v>
      </c>
      <c r="AA82" s="21">
        <v>0.25</v>
      </c>
      <c r="AB82" s="24">
        <f t="shared" si="47"/>
        <v>7500</v>
      </c>
      <c r="AD82" s="20"/>
      <c r="AE82" s="28">
        <v>0.16</v>
      </c>
      <c r="AF82" s="29">
        <f>AF81*0.16</f>
        <v>2321635.3680000002</v>
      </c>
    </row>
    <row r="83" spans="2:32" x14ac:dyDescent="0.35">
      <c r="B83">
        <v>2</v>
      </c>
      <c r="C83" s="5">
        <v>30000</v>
      </c>
      <c r="D83" s="2">
        <f t="shared" si="46"/>
        <v>60000</v>
      </c>
      <c r="W83" t="s">
        <v>19</v>
      </c>
      <c r="X83" s="10">
        <f>X81+X82</f>
        <v>20506857</v>
      </c>
      <c r="Z83" s="26">
        <v>1</v>
      </c>
      <c r="AA83" s="23">
        <v>80000</v>
      </c>
      <c r="AB83" s="24">
        <f t="shared" si="47"/>
        <v>80000</v>
      </c>
      <c r="AD83" s="20"/>
      <c r="AE83" s="30">
        <v>2.9999999999999997E-4</v>
      </c>
      <c r="AF83" s="29">
        <f>AF81*0.03/100</f>
        <v>4353.066315</v>
      </c>
    </row>
    <row r="84" spans="2:32" ht="18.5" x14ac:dyDescent="0.45">
      <c r="B84">
        <v>200</v>
      </c>
      <c r="C84">
        <v>2000</v>
      </c>
      <c r="D84" s="2">
        <f t="shared" si="46"/>
        <v>400000</v>
      </c>
      <c r="G84" t="s">
        <v>24</v>
      </c>
      <c r="H84" s="5">
        <v>10470751</v>
      </c>
      <c r="W84" s="8">
        <v>2.9999999999999997E-4</v>
      </c>
      <c r="X84" s="10">
        <f>X81*0.03/100</f>
        <v>5303.4975000000004</v>
      </c>
      <c r="Z84" s="20"/>
      <c r="AA84" s="21"/>
      <c r="AB84" s="25">
        <f>SUM(AB79:AB83)</f>
        <v>142500</v>
      </c>
      <c r="AD84" s="20"/>
      <c r="AE84" s="37" t="s">
        <v>14</v>
      </c>
      <c r="AF84" s="38">
        <f>AF81+AF82+AF83</f>
        <v>16836209.484315</v>
      </c>
    </row>
    <row r="85" spans="2:32" ht="15" thickBot="1" x14ac:dyDescent="0.4">
      <c r="B85">
        <v>400</v>
      </c>
      <c r="C85" s="5">
        <v>2000</v>
      </c>
      <c r="D85" s="2">
        <f t="shared" si="46"/>
        <v>800000</v>
      </c>
      <c r="W85" t="s">
        <v>14</v>
      </c>
      <c r="X85" s="11">
        <f>X83+X84</f>
        <v>20512160.497499999</v>
      </c>
      <c r="Z85" s="20"/>
      <c r="AA85" s="21"/>
      <c r="AB85" s="22"/>
      <c r="AD85" s="31"/>
      <c r="AE85" s="32"/>
      <c r="AF85" s="39"/>
    </row>
    <row r="86" spans="2:32" x14ac:dyDescent="0.35">
      <c r="D86" s="4">
        <f>SUM(D79:D85)</f>
        <v>1363000</v>
      </c>
      <c r="Z86" s="20"/>
      <c r="AA86" s="21" t="s">
        <v>22</v>
      </c>
      <c r="AB86" s="27">
        <f>AB84+AB76+AB72+AB67+AB57+AB53+AB48+AB43+AB39+AB25+AB18+AB11</f>
        <v>19802719.399999999</v>
      </c>
    </row>
    <row r="87" spans="2:32" x14ac:dyDescent="0.35">
      <c r="Z87" s="20"/>
      <c r="AA87" s="28">
        <v>0.16</v>
      </c>
      <c r="AB87" s="29">
        <f>AB86*0.16</f>
        <v>3168435.1039999998</v>
      </c>
      <c r="AF87" s="10"/>
    </row>
    <row r="88" spans="2:32" x14ac:dyDescent="0.35">
      <c r="B88" t="s">
        <v>12</v>
      </c>
      <c r="Z88" s="20"/>
      <c r="AA88" s="30">
        <v>2.9999999999999997E-4</v>
      </c>
      <c r="AB88" s="29">
        <f>AB86*0.03/100</f>
        <v>5940.8158199999998</v>
      </c>
    </row>
    <row r="89" spans="2:32" ht="19" thickBot="1" x14ac:dyDescent="0.5">
      <c r="B89">
        <v>2</v>
      </c>
      <c r="C89" s="5">
        <v>80000</v>
      </c>
      <c r="D89" s="2">
        <f>B89*C89</f>
        <v>160000</v>
      </c>
      <c r="Z89" s="33"/>
      <c r="AA89" s="34" t="s">
        <v>20</v>
      </c>
      <c r="AB89" s="35">
        <f>AB86+AB87+AB88</f>
        <v>22977095.319819998</v>
      </c>
    </row>
    <row r="90" spans="2:32" x14ac:dyDescent="0.35">
      <c r="B90">
        <v>1</v>
      </c>
      <c r="C90" s="5">
        <v>120000</v>
      </c>
      <c r="D90" s="2">
        <f>B90*C90</f>
        <v>120000</v>
      </c>
    </row>
    <row r="91" spans="2:32" x14ac:dyDescent="0.35">
      <c r="D91" s="4">
        <f>SUM(D89:D90)</f>
        <v>280000</v>
      </c>
    </row>
    <row r="94" spans="2:32" x14ac:dyDescent="0.35">
      <c r="C94" t="s">
        <v>13</v>
      </c>
      <c r="D94" s="6">
        <f>D91+D86+D76+D72+D67+D62+D57+D51+D47+D27+D23+D19+D12</f>
        <v>24606120</v>
      </c>
    </row>
    <row r="95" spans="2:32" x14ac:dyDescent="0.35">
      <c r="C95" s="8">
        <v>2.9999999999999997E-4</v>
      </c>
      <c r="D95" s="10">
        <f>D94*0.03/100</f>
        <v>7381.8359999999993</v>
      </c>
    </row>
    <row r="96" spans="2:32" x14ac:dyDescent="0.35">
      <c r="C96" s="9">
        <v>0.16</v>
      </c>
      <c r="D96" s="10">
        <f>D94*0.16</f>
        <v>3936979.2</v>
      </c>
    </row>
    <row r="97" spans="3:4" x14ac:dyDescent="0.35">
      <c r="C97" t="s">
        <v>14</v>
      </c>
      <c r="D97" s="11">
        <f>D94+D95+D96</f>
        <v>28550481.035999998</v>
      </c>
    </row>
    <row r="101" spans="3:4" x14ac:dyDescent="0.35">
      <c r="C101" t="s">
        <v>23</v>
      </c>
      <c r="D101" s="5">
        <v>30600000</v>
      </c>
    </row>
    <row r="103" spans="3:4" x14ac:dyDescent="0.35">
      <c r="D103" s="10">
        <f>D101-D97</f>
        <v>2049518.9640000015</v>
      </c>
    </row>
  </sheetData>
  <mergeCells count="11">
    <mergeCell ref="AL1:AN1"/>
    <mergeCell ref="AP1:AR1"/>
    <mergeCell ref="AH1:AJ1"/>
    <mergeCell ref="Z1:AB1"/>
    <mergeCell ref="AD1:AF1"/>
    <mergeCell ref="V1:X1"/>
    <mergeCell ref="C1:D1"/>
    <mergeCell ref="F1:H1"/>
    <mergeCell ref="J1:L1"/>
    <mergeCell ref="N1:P1"/>
    <mergeCell ref="R1:T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2026-03-14T17:04:52Z</dcterms:created>
  <dcterms:modified xsi:type="dcterms:W3CDTF">2026-03-18T18:36:04Z</dcterms:modified>
</cp:coreProperties>
</file>